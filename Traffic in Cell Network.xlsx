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ParabitCloudEnterprise-CostEstimator\"/>
    </mc:Choice>
  </mc:AlternateContent>
  <xr:revisionPtr revIDLastSave="0" documentId="8_{E385F21B-6AEA-4192-AA9C-9B235DF6877A}" xr6:coauthVersionLast="47" xr6:coauthVersionMax="47" xr10:uidLastSave="{00000000-0000-0000-0000-000000000000}"/>
  <bookViews>
    <workbookView xWindow="-120" yWindow="-120" windowWidth="38640" windowHeight="21120" xr2:uid="{8534CC66-4B3A-4D6A-9605-08362BAD3903}"/>
  </bookViews>
  <sheets>
    <sheet name="Summary" sheetId="3" r:id="rId1"/>
    <sheet name="Credentials-hr" sheetId="1" r:id="rId2"/>
    <sheet name="Alarms-hr" sheetId="2" r:id="rId3"/>
    <sheet name="Credential-day" sheetId="4" r:id="rId4"/>
    <sheet name="Alarm-da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3" l="1"/>
  <c r="O8" i="3"/>
  <c r="O15" i="3" s="1"/>
  <c r="O22" i="3" s="1"/>
  <c r="H5" i="3"/>
  <c r="H8" i="3"/>
  <c r="H9" i="3"/>
  <c r="H4" i="3"/>
  <c r="N23" i="3"/>
  <c r="N16" i="3"/>
  <c r="P8" i="3"/>
  <c r="P15" i="3" s="1"/>
  <c r="P22" i="3" s="1"/>
  <c r="Q22" i="3" s="1"/>
  <c r="Q5" i="3"/>
  <c r="V5" i="3" s="1"/>
  <c r="Q4" i="3"/>
  <c r="V4" i="3" s="1"/>
  <c r="P5" i="3"/>
  <c r="U5" i="3" s="1"/>
  <c r="P4" i="3"/>
  <c r="O5" i="3"/>
  <c r="T5" i="3" s="1"/>
  <c r="O4" i="3"/>
  <c r="T4" i="3" s="1"/>
  <c r="N5" i="3"/>
  <c r="S5" i="3" s="1"/>
  <c r="N4" i="3"/>
  <c r="S4" i="3" s="1"/>
  <c r="O14" i="3" l="1"/>
  <c r="O13" i="3"/>
  <c r="O16" i="3"/>
  <c r="Q15" i="3"/>
  <c r="U4" i="3"/>
  <c r="P20" i="3"/>
  <c r="O21" i="3"/>
  <c r="O23" i="3" s="1"/>
  <c r="P13" i="3"/>
  <c r="P21" i="3"/>
  <c r="Q21" i="3" s="1"/>
  <c r="P14" i="3"/>
  <c r="Q14" i="3" s="1"/>
  <c r="Q20" i="3"/>
  <c r="T7" i="3"/>
  <c r="P23" i="3" l="1"/>
  <c r="Q13" i="3"/>
  <c r="P16" i="3"/>
  <c r="Q23" i="3"/>
  <c r="R20" i="3"/>
  <c r="R21" i="3" s="1"/>
  <c r="R22" i="3" s="1"/>
  <c r="Q16" i="3" l="1"/>
  <c r="R13" i="3"/>
  <c r="R14" i="3" s="1"/>
  <c r="R15" i="3" s="1"/>
  <c r="R23" i="3"/>
  <c r="R16" i="3" l="1"/>
</calcChain>
</file>

<file path=xl/sharedStrings.xml><?xml version="1.0" encoding="utf-8"?>
<sst xmlns="http://schemas.openxmlformats.org/spreadsheetml/2006/main" count="356" uniqueCount="100">
  <si>
    <t>SiteID</t>
  </si>
  <si>
    <t>MaxPerDay</t>
  </si>
  <si>
    <t>MinPerDay</t>
  </si>
  <si>
    <t>AvgPerDay</t>
  </si>
  <si>
    <t>BR001</t>
  </si>
  <si>
    <t>BR002</t>
  </si>
  <si>
    <t>BR003</t>
  </si>
  <si>
    <t>BR004.1</t>
  </si>
  <si>
    <t>BR005</t>
  </si>
  <si>
    <t>BR007</t>
  </si>
  <si>
    <t>BR009</t>
  </si>
  <si>
    <t>BR011</t>
  </si>
  <si>
    <t>BR012</t>
  </si>
  <si>
    <t>BR016</t>
  </si>
  <si>
    <t>BR018</t>
  </si>
  <si>
    <t>BR019</t>
  </si>
  <si>
    <t>BR020</t>
  </si>
  <si>
    <t>BR021</t>
  </si>
  <si>
    <t>BR024</t>
  </si>
  <si>
    <t>BR025</t>
  </si>
  <si>
    <t>BR026</t>
  </si>
  <si>
    <t>BR029</t>
  </si>
  <si>
    <t>BR032</t>
  </si>
  <si>
    <t>BR033</t>
  </si>
  <si>
    <t>BR034</t>
  </si>
  <si>
    <t>BR035</t>
  </si>
  <si>
    <t>BR036</t>
  </si>
  <si>
    <t>BR037</t>
  </si>
  <si>
    <t>BR038</t>
  </si>
  <si>
    <t>BR041</t>
  </si>
  <si>
    <t>BR042</t>
  </si>
  <si>
    <t>BR045</t>
  </si>
  <si>
    <t>BR046</t>
  </si>
  <si>
    <t>BR047</t>
  </si>
  <si>
    <t>BR048</t>
  </si>
  <si>
    <t>BR049</t>
  </si>
  <si>
    <t>BR051</t>
  </si>
  <si>
    <t>BR052</t>
  </si>
  <si>
    <t>BR053</t>
  </si>
  <si>
    <t>BR054</t>
  </si>
  <si>
    <t>BR055</t>
  </si>
  <si>
    <t>BR057</t>
  </si>
  <si>
    <t>BR061</t>
  </si>
  <si>
    <t>BR091</t>
  </si>
  <si>
    <t>BR093</t>
  </si>
  <si>
    <t>BR095</t>
  </si>
  <si>
    <t>BR102</t>
  </si>
  <si>
    <t>BR103</t>
  </si>
  <si>
    <t>BR105</t>
  </si>
  <si>
    <t>BR106.1</t>
  </si>
  <si>
    <t>BR107</t>
  </si>
  <si>
    <t>BR109</t>
  </si>
  <si>
    <t>BR110</t>
  </si>
  <si>
    <t>BR112</t>
  </si>
  <si>
    <t>BR114</t>
  </si>
  <si>
    <t>BR115</t>
  </si>
  <si>
    <t>BR118</t>
  </si>
  <si>
    <t>BR121</t>
  </si>
  <si>
    <t>BR125</t>
  </si>
  <si>
    <t>BR126</t>
  </si>
  <si>
    <t>BR127</t>
  </si>
  <si>
    <t>BR129.1</t>
  </si>
  <si>
    <t>BR131</t>
  </si>
  <si>
    <t>BR132</t>
  </si>
  <si>
    <t>BR135</t>
  </si>
  <si>
    <t>BR140.1</t>
  </si>
  <si>
    <t>BR142</t>
  </si>
  <si>
    <t>BR151</t>
  </si>
  <si>
    <t>BR152</t>
  </si>
  <si>
    <t>BR153</t>
  </si>
  <si>
    <t>BR154</t>
  </si>
  <si>
    <t>BR156</t>
  </si>
  <si>
    <t>BR157</t>
  </si>
  <si>
    <t>MaxPerHour</t>
  </si>
  <si>
    <t>MinPerHour</t>
  </si>
  <si>
    <t>AvgPerHour</t>
  </si>
  <si>
    <t>Credentials</t>
  </si>
  <si>
    <t>Alarm</t>
  </si>
  <si>
    <t>Bytes per unit</t>
  </si>
  <si>
    <t>Credential</t>
  </si>
  <si>
    <t>Event</t>
  </si>
  <si>
    <t>Number of Bytes</t>
  </si>
  <si>
    <t>%</t>
  </si>
  <si>
    <t>Security</t>
  </si>
  <si>
    <t>ACS Enterprise (Apple Bank)</t>
  </si>
  <si>
    <t>Apply ACS Stats (Kb)</t>
  </si>
  <si>
    <t>Heartbeat</t>
  </si>
  <si>
    <t>Frequency (minutes)</t>
  </si>
  <si>
    <t>PerHour</t>
  </si>
  <si>
    <t>PerDay</t>
  </si>
  <si>
    <t>Max</t>
  </si>
  <si>
    <t>Summary(Mb)</t>
  </si>
  <si>
    <t>Total</t>
  </si>
  <si>
    <t>PerMonth (Mb)</t>
  </si>
  <si>
    <t>Average</t>
  </si>
  <si>
    <t>(Cloud)</t>
  </si>
  <si>
    <t>Credential (*)</t>
  </si>
  <si>
    <t>(*)</t>
  </si>
  <si>
    <t>Not final, used Tradeshow first release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</si>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</sst>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A6672-C85C-4D72-96AF-3C0EA15D225C}">
  <dimension ref="B1:V25"/>
  <sheetViews>
    <sheetView tabSelected="1" topLeftCell="D1" zoomScale="160" zoomScaleNormal="160" workbookViewId="0">
      <selection activeCell="J12" sqref="J12"/>
    </sheetView>
  </sheetViews>
  <sheetFormatPr defaultRowHeight="15" x14ac:dyDescent="0.25"/>
  <cols>
    <col min="2" max="2" width="12" customWidth="1"/>
    <col min="3" max="9" width="12.85546875" customWidth="1"/>
    <col min="11" max="11" width="12.7109375" bestFit="1" customWidth="1"/>
    <col min="12" max="12" width="15.42578125" bestFit="1" customWidth="1"/>
    <col min="13" max="13" width="13.5703125" bestFit="1" customWidth="1"/>
    <col min="14" max="14" width="14.42578125" bestFit="1" customWidth="1"/>
    <col min="15" max="15" width="10.7109375" bestFit="1" customWidth="1"/>
    <col min="16" max="16" width="11.140625" bestFit="1" customWidth="1"/>
    <col min="17" max="17" width="14.140625" bestFit="1" customWidth="1"/>
    <col min="19" max="19" width="11.7109375" bestFit="1" customWidth="1"/>
    <col min="20" max="20" width="10.7109375" bestFit="1" customWidth="1"/>
    <col min="21" max="21" width="11.140625" bestFit="1" customWidth="1"/>
    <col min="22" max="22" width="10.140625" bestFit="1" customWidth="1"/>
  </cols>
  <sheetData>
    <row r="1" spans="2:22" x14ac:dyDescent="0.25">
      <c r="S1" t="s">
        <v>83</v>
      </c>
    </row>
    <row r="2" spans="2:22" x14ac:dyDescent="0.25">
      <c r="B2" s="5"/>
      <c r="C2" s="7" t="s">
        <v>84</v>
      </c>
      <c r="D2" s="7"/>
      <c r="E2" s="7"/>
      <c r="F2" s="7"/>
      <c r="G2" s="7"/>
      <c r="H2" s="1"/>
      <c r="I2" s="1"/>
      <c r="K2" t="s">
        <v>78</v>
      </c>
      <c r="N2" t="s">
        <v>85</v>
      </c>
      <c r="S2" s="1" t="s">
        <v>82</v>
      </c>
      <c r="T2" s="3">
        <v>50</v>
      </c>
    </row>
    <row r="3" spans="2:22" x14ac:dyDescent="0.25">
      <c r="B3" s="5"/>
      <c r="C3" s="5" t="s">
        <v>0</v>
      </c>
      <c r="D3" s="5" t="s">
        <v>73</v>
      </c>
      <c r="E3" s="5"/>
      <c r="F3" s="5" t="s">
        <v>0</v>
      </c>
      <c r="G3" s="5" t="s">
        <v>1</v>
      </c>
      <c r="H3" s="5" t="s">
        <v>99</v>
      </c>
      <c r="K3" t="s">
        <v>80</v>
      </c>
      <c r="L3" t="s">
        <v>81</v>
      </c>
      <c r="N3" t="s">
        <v>73</v>
      </c>
      <c r="O3" t="s">
        <v>1</v>
      </c>
      <c r="P3" t="s">
        <v>75</v>
      </c>
      <c r="Q3" t="s">
        <v>3</v>
      </c>
      <c r="S3" t="s">
        <v>73</v>
      </c>
      <c r="T3" t="s">
        <v>1</v>
      </c>
      <c r="U3" t="s">
        <v>75</v>
      </c>
      <c r="V3" t="s">
        <v>3</v>
      </c>
    </row>
    <row r="4" spans="2:22" x14ac:dyDescent="0.25">
      <c r="B4" s="5" t="s">
        <v>76</v>
      </c>
      <c r="C4" s="5" t="s">
        <v>69</v>
      </c>
      <c r="D4" s="5">
        <v>70</v>
      </c>
      <c r="E4" s="5"/>
      <c r="F4" s="5" t="s">
        <v>41</v>
      </c>
      <c r="G4" s="5">
        <v>230</v>
      </c>
      <c r="H4" s="5">
        <f>+G4*30</f>
        <v>6900</v>
      </c>
      <c r="K4" t="s">
        <v>79</v>
      </c>
      <c r="L4">
        <v>1054</v>
      </c>
      <c r="N4" s="2">
        <f>+L4*D4/1000</f>
        <v>73.78</v>
      </c>
      <c r="O4" s="2">
        <f>+L4*G4/1000</f>
        <v>242.42</v>
      </c>
      <c r="P4" s="2">
        <f>+L4*D8/1000</f>
        <v>10.940128966</v>
      </c>
      <c r="Q4" s="2">
        <f>+L4*G8/1000</f>
        <v>118.15339999999999</v>
      </c>
      <c r="S4" s="2">
        <f>+N4+N4*$T$2/100</f>
        <v>110.67</v>
      </c>
      <c r="T4" s="2">
        <f t="shared" ref="T4:V5" si="0">+O4+O4*$T$2/100</f>
        <v>363.63</v>
      </c>
      <c r="U4" s="2">
        <f t="shared" si="0"/>
        <v>16.410193448999998</v>
      </c>
      <c r="V4" s="2">
        <f t="shared" si="0"/>
        <v>177.23009999999999</v>
      </c>
    </row>
    <row r="5" spans="2:22" x14ac:dyDescent="0.25">
      <c r="B5" s="5" t="s">
        <v>77</v>
      </c>
      <c r="C5" s="5" t="s">
        <v>24</v>
      </c>
      <c r="D5" s="5">
        <v>264</v>
      </c>
      <c r="E5" s="5"/>
      <c r="F5" s="5" t="s">
        <v>24</v>
      </c>
      <c r="G5" s="5">
        <v>264</v>
      </c>
      <c r="H5" s="5">
        <f t="shared" ref="H5:H9" si="1">+G5*30</f>
        <v>7920</v>
      </c>
      <c r="K5" t="s">
        <v>77</v>
      </c>
      <c r="L5">
        <v>342</v>
      </c>
      <c r="N5" s="2">
        <f>+L5*D5/1000</f>
        <v>90.287999999999997</v>
      </c>
      <c r="O5" s="2">
        <f>+L5*G5/1000</f>
        <v>90.287999999999997</v>
      </c>
      <c r="P5" s="2">
        <f>+L5*D9/1000</f>
        <v>28.215</v>
      </c>
      <c r="Q5" s="2">
        <f>+L5*G9/1000</f>
        <v>56.43</v>
      </c>
      <c r="S5" s="2">
        <f>+N5+N5*$T$2/100</f>
        <v>135.43199999999999</v>
      </c>
      <c r="T5" s="2">
        <f t="shared" si="0"/>
        <v>135.43199999999999</v>
      </c>
      <c r="U5" s="2">
        <f t="shared" si="0"/>
        <v>42.322499999999998</v>
      </c>
      <c r="V5" s="2">
        <f t="shared" si="0"/>
        <v>84.644999999999996</v>
      </c>
    </row>
    <row r="7" spans="2:22" x14ac:dyDescent="0.25">
      <c r="B7" s="5"/>
      <c r="C7" s="5" t="s">
        <v>0</v>
      </c>
      <c r="D7" s="5" t="s">
        <v>75</v>
      </c>
      <c r="E7" s="5"/>
      <c r="F7" s="5" t="s">
        <v>0</v>
      </c>
      <c r="G7" s="5" t="s">
        <v>3</v>
      </c>
      <c r="H7" s="5"/>
      <c r="N7" t="s">
        <v>87</v>
      </c>
      <c r="O7" t="s">
        <v>88</v>
      </c>
      <c r="P7" t="s">
        <v>89</v>
      </c>
      <c r="T7" s="2">
        <f>SUM(T4:T6)</f>
        <v>499.06200000000001</v>
      </c>
    </row>
    <row r="8" spans="2:22" x14ac:dyDescent="0.25">
      <c r="B8" s="5" t="s">
        <v>76</v>
      </c>
      <c r="C8" s="5" t="s">
        <v>41</v>
      </c>
      <c r="D8" s="6">
        <v>10.379629</v>
      </c>
      <c r="E8" s="5"/>
      <c r="F8" s="5" t="s">
        <v>41</v>
      </c>
      <c r="G8" s="5">
        <v>112.1</v>
      </c>
      <c r="H8" s="5">
        <f t="shared" si="1"/>
        <v>3363</v>
      </c>
      <c r="K8" t="s">
        <v>86</v>
      </c>
      <c r="L8">
        <v>342</v>
      </c>
      <c r="N8">
        <v>60</v>
      </c>
      <c r="O8">
        <f>+(N8/60)*L8/1000</f>
        <v>0.34200000000000003</v>
      </c>
      <c r="P8">
        <f>+N8*L8*24/1000</f>
        <v>492.48</v>
      </c>
    </row>
    <row r="9" spans="2:22" x14ac:dyDescent="0.25">
      <c r="B9" s="5" t="s">
        <v>77</v>
      </c>
      <c r="C9" s="5" t="s">
        <v>29</v>
      </c>
      <c r="D9" s="5">
        <v>82.5</v>
      </c>
      <c r="E9" s="5"/>
      <c r="F9" s="5" t="s">
        <v>29</v>
      </c>
      <c r="G9" s="5">
        <v>165</v>
      </c>
      <c r="H9" s="5">
        <f t="shared" si="1"/>
        <v>4950</v>
      </c>
    </row>
    <row r="10" spans="2:22" x14ac:dyDescent="0.25">
      <c r="M10" s="7" t="s">
        <v>91</v>
      </c>
      <c r="N10" s="7"/>
      <c r="O10" s="7"/>
      <c r="P10" s="7"/>
      <c r="Q10" s="7"/>
      <c r="R10" s="7"/>
    </row>
    <row r="11" spans="2:22" x14ac:dyDescent="0.25">
      <c r="M11" s="5"/>
      <c r="N11" s="5" t="s">
        <v>95</v>
      </c>
      <c r="O11" s="7" t="s">
        <v>90</v>
      </c>
      <c r="P11" s="7"/>
      <c r="Q11" s="7"/>
      <c r="R11" s="4" t="s">
        <v>82</v>
      </c>
    </row>
    <row r="12" spans="2:22" x14ac:dyDescent="0.25">
      <c r="M12" s="5" t="s">
        <v>80</v>
      </c>
      <c r="N12" s="5" t="s">
        <v>81</v>
      </c>
      <c r="O12" s="5" t="s">
        <v>88</v>
      </c>
      <c r="P12" s="5" t="s">
        <v>89</v>
      </c>
      <c r="Q12" s="5" t="s">
        <v>93</v>
      </c>
      <c r="R12" s="4">
        <v>50</v>
      </c>
    </row>
    <row r="13" spans="2:22" x14ac:dyDescent="0.25">
      <c r="M13" s="5" t="s">
        <v>96</v>
      </c>
      <c r="N13" s="5">
        <v>1054</v>
      </c>
      <c r="O13" s="6">
        <f>+N4</f>
        <v>73.78</v>
      </c>
      <c r="P13" s="6">
        <f>+O4</f>
        <v>242.42</v>
      </c>
      <c r="Q13" s="5">
        <f>+P13*30/1000</f>
        <v>7.2725999999999997</v>
      </c>
      <c r="R13" s="5">
        <f>+Q13+Q13*R12/100</f>
        <v>10.908899999999999</v>
      </c>
    </row>
    <row r="14" spans="2:22" x14ac:dyDescent="0.25">
      <c r="M14" s="5" t="s">
        <v>77</v>
      </c>
      <c r="N14" s="5">
        <v>342</v>
      </c>
      <c r="O14" s="6">
        <f>+N5</f>
        <v>90.287999999999997</v>
      </c>
      <c r="P14" s="6">
        <f>+O5</f>
        <v>90.287999999999997</v>
      </c>
      <c r="Q14" s="5">
        <f>+P14*30/1000</f>
        <v>2.7086399999999999</v>
      </c>
      <c r="R14" s="5">
        <f t="shared" ref="R14:R16" si="2">+Q14+Q14*R13/100</f>
        <v>3.0041228289599999</v>
      </c>
    </row>
    <row r="15" spans="2:22" x14ac:dyDescent="0.25">
      <c r="M15" s="5" t="s">
        <v>86</v>
      </c>
      <c r="N15" s="5">
        <v>342</v>
      </c>
      <c r="O15" s="5">
        <f>+O8</f>
        <v>0.34200000000000003</v>
      </c>
      <c r="P15" s="5">
        <f>+P8</f>
        <v>492.48</v>
      </c>
      <c r="Q15" s="5">
        <f>+P15*30/1000</f>
        <v>14.774400000000002</v>
      </c>
      <c r="R15" s="5">
        <f t="shared" si="2"/>
        <v>15.218241123241867</v>
      </c>
    </row>
    <row r="16" spans="2:22" x14ac:dyDescent="0.25">
      <c r="M16" s="5" t="s">
        <v>92</v>
      </c>
      <c r="N16" s="5">
        <f>SUM(N13:N15)</f>
        <v>1738</v>
      </c>
      <c r="O16" s="5">
        <f t="shared" ref="O16:Q16" si="3">SUM(O13:O15)</f>
        <v>164.41</v>
      </c>
      <c r="P16" s="5">
        <f t="shared" si="3"/>
        <v>825.18799999999999</v>
      </c>
      <c r="Q16" s="5">
        <f t="shared" si="3"/>
        <v>24.75564</v>
      </c>
      <c r="R16" s="5">
        <f t="shared" si="2"/>
        <v>28.523012986801714</v>
      </c>
    </row>
    <row r="17" spans="13:18" x14ac:dyDescent="0.25">
      <c r="M17" s="5"/>
      <c r="N17" s="5"/>
      <c r="O17" s="5"/>
      <c r="P17" s="5"/>
      <c r="Q17" s="5"/>
      <c r="R17" s="5"/>
    </row>
    <row r="18" spans="13:18" x14ac:dyDescent="0.25">
      <c r="M18" s="5"/>
      <c r="N18" s="5"/>
      <c r="O18" s="7" t="s">
        <v>94</v>
      </c>
      <c r="P18" s="7"/>
      <c r="Q18" s="7"/>
      <c r="R18" s="4" t="s">
        <v>82</v>
      </c>
    </row>
    <row r="19" spans="13:18" x14ac:dyDescent="0.25">
      <c r="M19" s="5" t="s">
        <v>80</v>
      </c>
      <c r="N19" s="5" t="s">
        <v>81</v>
      </c>
      <c r="O19" s="5" t="s">
        <v>88</v>
      </c>
      <c r="P19" s="5" t="s">
        <v>89</v>
      </c>
      <c r="Q19" s="5" t="s">
        <v>93</v>
      </c>
      <c r="R19" s="4">
        <v>50</v>
      </c>
    </row>
    <row r="20" spans="13:18" x14ac:dyDescent="0.25">
      <c r="M20" s="5" t="s">
        <v>79</v>
      </c>
      <c r="N20" s="5">
        <v>1054</v>
      </c>
      <c r="O20" s="6">
        <f>+P4</f>
        <v>10.940128966</v>
      </c>
      <c r="P20" s="6">
        <f>+Q4</f>
        <v>118.15339999999999</v>
      </c>
      <c r="Q20" s="5">
        <f>+P20*30/1000</f>
        <v>3.5446019999999998</v>
      </c>
      <c r="R20" s="5">
        <f>+Q20+Q20*R19/100</f>
        <v>5.3169029999999999</v>
      </c>
    </row>
    <row r="21" spans="13:18" x14ac:dyDescent="0.25">
      <c r="M21" s="5" t="s">
        <v>77</v>
      </c>
      <c r="N21" s="5">
        <v>342</v>
      </c>
      <c r="O21" s="6">
        <f>+P5</f>
        <v>28.215</v>
      </c>
      <c r="P21" s="6">
        <f>+Q5</f>
        <v>56.43</v>
      </c>
      <c r="Q21" s="5">
        <f>+P21*30/1000</f>
        <v>1.6929000000000001</v>
      </c>
      <c r="R21" s="5">
        <f t="shared" ref="R21:R23" si="4">+Q21+Q21*R20/100</f>
        <v>1.782909850887</v>
      </c>
    </row>
    <row r="22" spans="13:18" x14ac:dyDescent="0.25">
      <c r="M22" s="5" t="s">
        <v>86</v>
      </c>
      <c r="N22" s="5">
        <v>342</v>
      </c>
      <c r="O22" s="5">
        <f>+O15</f>
        <v>0.34200000000000003</v>
      </c>
      <c r="P22" s="5">
        <f>+P15</f>
        <v>492.48</v>
      </c>
      <c r="Q22" s="5">
        <f>+P22*30/1000</f>
        <v>14.774400000000002</v>
      </c>
      <c r="R22" s="5">
        <f t="shared" si="4"/>
        <v>15.037814233009451</v>
      </c>
    </row>
    <row r="23" spans="13:18" x14ac:dyDescent="0.25">
      <c r="M23" s="5" t="s">
        <v>92</v>
      </c>
      <c r="N23" s="5">
        <f>SUM(N20:N22)</f>
        <v>1738</v>
      </c>
      <c r="O23" s="5">
        <f t="shared" ref="O23" si="5">SUM(O20:O22)</f>
        <v>39.497128965999998</v>
      </c>
      <c r="P23" s="5">
        <f t="shared" ref="P23" si="6">SUM(P20:P22)</f>
        <v>667.0634</v>
      </c>
      <c r="Q23" s="5">
        <f t="shared" ref="Q23" si="7">SUM(Q20:Q22)</f>
        <v>20.011902000000003</v>
      </c>
      <c r="R23" s="5">
        <f t="shared" si="4"/>
        <v>23.021254647251908</v>
      </c>
    </row>
    <row r="25" spans="13:18" x14ac:dyDescent="0.25">
      <c r="M25" t="s">
        <v>97</v>
      </c>
      <c r="N25" t="s">
        <v>98</v>
      </c>
    </row>
  </sheetData>
  <mergeCells count="4">
    <mergeCell ref="C2:G2"/>
    <mergeCell ref="M10:R10"/>
    <mergeCell ref="O18:Q18"/>
    <mergeCell ref="O11:Q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B640-6021-4E79-B35D-DAB7FC65BC37}">
  <dimension ref="A1:K70"/>
  <sheetViews>
    <sheetView topLeftCell="A34" workbookViewId="0">
      <selection activeCell="N47" sqref="N47"/>
    </sheetView>
  </sheetViews>
  <sheetFormatPr defaultRowHeight="15" x14ac:dyDescent="0.25"/>
  <cols>
    <col min="1" max="1" width="7.85546875" bestFit="1" customWidth="1"/>
    <col min="2" max="2" width="10.7109375" bestFit="1" customWidth="1"/>
    <col min="3" max="3" width="11.42578125" bestFit="1" customWidth="1"/>
    <col min="4" max="4" width="10.140625" bestFit="1" customWidth="1"/>
    <col min="8" max="8" width="11.7109375" bestFit="1" customWidth="1"/>
  </cols>
  <sheetData>
    <row r="1" spans="1:11" x14ac:dyDescent="0.25">
      <c r="A1" t="s">
        <v>0</v>
      </c>
      <c r="B1" t="s">
        <v>73</v>
      </c>
      <c r="C1" t="s">
        <v>74</v>
      </c>
      <c r="D1" t="s">
        <v>75</v>
      </c>
      <c r="G1" t="s">
        <v>0</v>
      </c>
      <c r="H1" t="s">
        <v>73</v>
      </c>
      <c r="J1" t="s">
        <v>0</v>
      </c>
      <c r="K1" t="s">
        <v>75</v>
      </c>
    </row>
    <row r="2" spans="1:11" x14ac:dyDescent="0.25">
      <c r="A2" t="s">
        <v>41</v>
      </c>
      <c r="B2">
        <v>34</v>
      </c>
      <c r="C2">
        <v>1</v>
      </c>
      <c r="D2">
        <v>10.379629</v>
      </c>
      <c r="G2" t="s">
        <v>69</v>
      </c>
      <c r="H2">
        <v>70</v>
      </c>
      <c r="J2" t="s">
        <v>41</v>
      </c>
      <c r="K2">
        <v>10.379629</v>
      </c>
    </row>
    <row r="3" spans="1:11" x14ac:dyDescent="0.25">
      <c r="A3" t="s">
        <v>7</v>
      </c>
      <c r="B3">
        <v>22</v>
      </c>
      <c r="C3">
        <v>1</v>
      </c>
      <c r="D3">
        <v>6.4148930000000002</v>
      </c>
    </row>
    <row r="4" spans="1:11" x14ac:dyDescent="0.25">
      <c r="A4" t="s">
        <v>6</v>
      </c>
      <c r="B4">
        <v>15</v>
      </c>
      <c r="C4">
        <v>1</v>
      </c>
      <c r="D4">
        <v>5.8902429999999999</v>
      </c>
    </row>
    <row r="5" spans="1:11" x14ac:dyDescent="0.25">
      <c r="A5" t="s">
        <v>44</v>
      </c>
      <c r="B5">
        <v>18</v>
      </c>
      <c r="C5">
        <v>1</v>
      </c>
      <c r="D5">
        <v>5.6195649999999997</v>
      </c>
    </row>
    <row r="6" spans="1:11" x14ac:dyDescent="0.25">
      <c r="A6" t="s">
        <v>69</v>
      </c>
      <c r="B6">
        <v>70</v>
      </c>
      <c r="C6">
        <v>1</v>
      </c>
      <c r="D6">
        <v>5.5660369999999997</v>
      </c>
    </row>
    <row r="7" spans="1:11" x14ac:dyDescent="0.25">
      <c r="A7" t="s">
        <v>71</v>
      </c>
      <c r="B7">
        <v>18</v>
      </c>
      <c r="C7">
        <v>1</v>
      </c>
      <c r="D7">
        <v>5.4352939999999998</v>
      </c>
    </row>
    <row r="8" spans="1:11" x14ac:dyDescent="0.25">
      <c r="A8" t="s">
        <v>70</v>
      </c>
      <c r="B8">
        <v>14</v>
      </c>
      <c r="C8">
        <v>1</v>
      </c>
      <c r="D8">
        <v>5</v>
      </c>
    </row>
    <row r="9" spans="1:11" x14ac:dyDescent="0.25">
      <c r="A9" t="s">
        <v>8</v>
      </c>
      <c r="B9">
        <v>13</v>
      </c>
      <c r="C9">
        <v>1</v>
      </c>
      <c r="D9">
        <v>4.9753080000000001</v>
      </c>
    </row>
    <row r="10" spans="1:11" x14ac:dyDescent="0.25">
      <c r="A10" t="s">
        <v>25</v>
      </c>
      <c r="B10">
        <v>16</v>
      </c>
      <c r="C10">
        <v>1</v>
      </c>
      <c r="D10">
        <v>4.9673910000000001</v>
      </c>
    </row>
    <row r="11" spans="1:11" x14ac:dyDescent="0.25">
      <c r="A11" t="s">
        <v>43</v>
      </c>
      <c r="B11">
        <v>24</v>
      </c>
      <c r="C11">
        <v>1</v>
      </c>
      <c r="D11">
        <v>4.818181</v>
      </c>
    </row>
    <row r="12" spans="1:11" x14ac:dyDescent="0.25">
      <c r="A12" t="s">
        <v>67</v>
      </c>
      <c r="B12">
        <v>13</v>
      </c>
      <c r="C12">
        <v>1</v>
      </c>
      <c r="D12">
        <v>4.78409</v>
      </c>
    </row>
    <row r="13" spans="1:11" x14ac:dyDescent="0.25">
      <c r="A13" t="s">
        <v>17</v>
      </c>
      <c r="B13">
        <v>15</v>
      </c>
      <c r="C13">
        <v>1</v>
      </c>
      <c r="D13">
        <v>4.5999999999999996</v>
      </c>
    </row>
    <row r="14" spans="1:11" x14ac:dyDescent="0.25">
      <c r="A14" t="s">
        <v>33</v>
      </c>
      <c r="B14">
        <v>13</v>
      </c>
      <c r="C14">
        <v>1</v>
      </c>
      <c r="D14">
        <v>4.4457829999999996</v>
      </c>
    </row>
    <row r="15" spans="1:11" x14ac:dyDescent="0.25">
      <c r="A15" t="s">
        <v>23</v>
      </c>
      <c r="B15">
        <v>14</v>
      </c>
      <c r="C15">
        <v>1</v>
      </c>
      <c r="D15">
        <v>4.2098760000000004</v>
      </c>
    </row>
    <row r="16" spans="1:11" x14ac:dyDescent="0.25">
      <c r="A16" t="s">
        <v>37</v>
      </c>
      <c r="B16">
        <v>16</v>
      </c>
      <c r="C16">
        <v>1</v>
      </c>
      <c r="D16">
        <v>4.1914889999999998</v>
      </c>
    </row>
    <row r="17" spans="1:4" x14ac:dyDescent="0.25">
      <c r="A17" t="s">
        <v>14</v>
      </c>
      <c r="B17">
        <v>14</v>
      </c>
      <c r="C17">
        <v>1</v>
      </c>
      <c r="D17">
        <v>4.1463409999999996</v>
      </c>
    </row>
    <row r="18" spans="1:4" x14ac:dyDescent="0.25">
      <c r="A18" t="s">
        <v>39</v>
      </c>
      <c r="B18">
        <v>14</v>
      </c>
      <c r="C18">
        <v>1</v>
      </c>
      <c r="D18">
        <v>4.0731700000000002</v>
      </c>
    </row>
    <row r="19" spans="1:4" x14ac:dyDescent="0.25">
      <c r="A19" t="s">
        <v>36</v>
      </c>
      <c r="B19">
        <v>17</v>
      </c>
      <c r="C19">
        <v>1</v>
      </c>
      <c r="D19">
        <v>4.0416660000000002</v>
      </c>
    </row>
    <row r="20" spans="1:4" x14ac:dyDescent="0.25">
      <c r="A20" t="s">
        <v>9</v>
      </c>
      <c r="B20">
        <v>12</v>
      </c>
      <c r="C20">
        <v>1</v>
      </c>
      <c r="D20">
        <v>3.7572809999999999</v>
      </c>
    </row>
    <row r="21" spans="1:4" x14ac:dyDescent="0.25">
      <c r="A21" t="s">
        <v>22</v>
      </c>
      <c r="B21">
        <v>12</v>
      </c>
      <c r="C21">
        <v>1</v>
      </c>
      <c r="D21">
        <v>3.7124999999999999</v>
      </c>
    </row>
    <row r="22" spans="1:4" x14ac:dyDescent="0.25">
      <c r="A22" t="s">
        <v>12</v>
      </c>
      <c r="B22">
        <v>10</v>
      </c>
      <c r="C22">
        <v>1</v>
      </c>
      <c r="D22">
        <v>3.6666660000000002</v>
      </c>
    </row>
    <row r="23" spans="1:4" x14ac:dyDescent="0.25">
      <c r="A23" t="s">
        <v>11</v>
      </c>
      <c r="B23">
        <v>17</v>
      </c>
      <c r="C23">
        <v>1</v>
      </c>
      <c r="D23">
        <v>3.5492949999999999</v>
      </c>
    </row>
    <row r="24" spans="1:4" x14ac:dyDescent="0.25">
      <c r="A24" t="s">
        <v>66</v>
      </c>
      <c r="B24">
        <v>15</v>
      </c>
      <c r="C24">
        <v>1</v>
      </c>
      <c r="D24">
        <v>3.5046719999999998</v>
      </c>
    </row>
    <row r="25" spans="1:4" x14ac:dyDescent="0.25">
      <c r="A25" t="s">
        <v>5</v>
      </c>
      <c r="B25">
        <v>10</v>
      </c>
      <c r="C25">
        <v>1</v>
      </c>
      <c r="D25">
        <v>3.4691350000000001</v>
      </c>
    </row>
    <row r="26" spans="1:4" x14ac:dyDescent="0.25">
      <c r="A26" t="s">
        <v>27</v>
      </c>
      <c r="B26">
        <v>14</v>
      </c>
      <c r="C26">
        <v>1</v>
      </c>
      <c r="D26">
        <v>3.4181810000000001</v>
      </c>
    </row>
    <row r="27" spans="1:4" x14ac:dyDescent="0.25">
      <c r="A27" t="s">
        <v>32</v>
      </c>
      <c r="B27">
        <v>14</v>
      </c>
      <c r="C27">
        <v>1</v>
      </c>
      <c r="D27">
        <v>3.40909</v>
      </c>
    </row>
    <row r="28" spans="1:4" x14ac:dyDescent="0.25">
      <c r="A28" t="s">
        <v>68</v>
      </c>
      <c r="B28">
        <v>14</v>
      </c>
      <c r="C28">
        <v>1</v>
      </c>
      <c r="D28">
        <v>3.40909</v>
      </c>
    </row>
    <row r="29" spans="1:4" x14ac:dyDescent="0.25">
      <c r="A29" t="s">
        <v>42</v>
      </c>
      <c r="B29">
        <v>10</v>
      </c>
      <c r="C29">
        <v>1</v>
      </c>
      <c r="D29">
        <v>3.3384610000000001</v>
      </c>
    </row>
    <row r="30" spans="1:4" x14ac:dyDescent="0.25">
      <c r="A30" t="s">
        <v>21</v>
      </c>
      <c r="B30">
        <v>9</v>
      </c>
      <c r="C30">
        <v>1</v>
      </c>
      <c r="D30">
        <v>3.3</v>
      </c>
    </row>
    <row r="31" spans="1:4" x14ac:dyDescent="0.25">
      <c r="A31" t="s">
        <v>16</v>
      </c>
      <c r="B31">
        <v>13</v>
      </c>
      <c r="C31">
        <v>1</v>
      </c>
      <c r="D31">
        <v>3.205479</v>
      </c>
    </row>
    <row r="32" spans="1:4" x14ac:dyDescent="0.25">
      <c r="A32" t="s">
        <v>18</v>
      </c>
      <c r="B32">
        <v>12</v>
      </c>
      <c r="C32">
        <v>1</v>
      </c>
      <c r="D32">
        <v>3.15625</v>
      </c>
    </row>
    <row r="33" spans="1:4" x14ac:dyDescent="0.25">
      <c r="A33" t="s">
        <v>24</v>
      </c>
      <c r="B33">
        <v>12</v>
      </c>
      <c r="C33">
        <v>1</v>
      </c>
      <c r="D33">
        <v>3.1232869999999999</v>
      </c>
    </row>
    <row r="34" spans="1:4" x14ac:dyDescent="0.25">
      <c r="A34" t="s">
        <v>15</v>
      </c>
      <c r="B34">
        <v>10</v>
      </c>
      <c r="C34">
        <v>1</v>
      </c>
      <c r="D34">
        <v>3.071428</v>
      </c>
    </row>
    <row r="35" spans="1:4" x14ac:dyDescent="0.25">
      <c r="A35" t="s">
        <v>28</v>
      </c>
      <c r="B35">
        <v>11</v>
      </c>
      <c r="C35">
        <v>1</v>
      </c>
      <c r="D35">
        <v>3.0196070000000002</v>
      </c>
    </row>
    <row r="36" spans="1:4" x14ac:dyDescent="0.25">
      <c r="A36" t="s">
        <v>38</v>
      </c>
      <c r="B36">
        <v>13</v>
      </c>
      <c r="C36">
        <v>1</v>
      </c>
      <c r="D36">
        <v>2.9759030000000002</v>
      </c>
    </row>
    <row r="37" spans="1:4" x14ac:dyDescent="0.25">
      <c r="A37" t="s">
        <v>26</v>
      </c>
      <c r="B37">
        <v>11</v>
      </c>
      <c r="C37">
        <v>1</v>
      </c>
      <c r="D37">
        <v>2.8730150000000001</v>
      </c>
    </row>
    <row r="38" spans="1:4" x14ac:dyDescent="0.25">
      <c r="A38" t="s">
        <v>61</v>
      </c>
      <c r="B38">
        <v>8</v>
      </c>
      <c r="C38">
        <v>1</v>
      </c>
      <c r="D38">
        <v>2.8382350000000001</v>
      </c>
    </row>
    <row r="39" spans="1:4" x14ac:dyDescent="0.25">
      <c r="A39" t="s">
        <v>58</v>
      </c>
      <c r="B39">
        <v>9</v>
      </c>
      <c r="C39">
        <v>1</v>
      </c>
      <c r="D39">
        <v>2.8271600000000001</v>
      </c>
    </row>
    <row r="40" spans="1:4" x14ac:dyDescent="0.25">
      <c r="A40" t="s">
        <v>29</v>
      </c>
      <c r="B40">
        <v>10</v>
      </c>
      <c r="C40">
        <v>1</v>
      </c>
      <c r="D40">
        <v>2.8148140000000001</v>
      </c>
    </row>
    <row r="41" spans="1:4" x14ac:dyDescent="0.25">
      <c r="A41" t="s">
        <v>34</v>
      </c>
      <c r="B41">
        <v>16</v>
      </c>
      <c r="C41">
        <v>1</v>
      </c>
      <c r="D41">
        <v>2.765625</v>
      </c>
    </row>
    <row r="42" spans="1:4" x14ac:dyDescent="0.25">
      <c r="A42" t="s">
        <v>60</v>
      </c>
      <c r="B42">
        <v>9</v>
      </c>
      <c r="C42">
        <v>1</v>
      </c>
      <c r="D42">
        <v>2.7228910000000002</v>
      </c>
    </row>
    <row r="43" spans="1:4" x14ac:dyDescent="0.25">
      <c r="A43" t="s">
        <v>35</v>
      </c>
      <c r="B43">
        <v>12</v>
      </c>
      <c r="C43">
        <v>1</v>
      </c>
      <c r="D43">
        <v>2.635135</v>
      </c>
    </row>
    <row r="44" spans="1:4" x14ac:dyDescent="0.25">
      <c r="A44" t="s">
        <v>65</v>
      </c>
      <c r="B44">
        <v>11</v>
      </c>
      <c r="C44">
        <v>1</v>
      </c>
      <c r="D44">
        <v>2.6333329999999999</v>
      </c>
    </row>
    <row r="45" spans="1:4" x14ac:dyDescent="0.25">
      <c r="A45" t="s">
        <v>45</v>
      </c>
      <c r="B45">
        <v>7</v>
      </c>
      <c r="C45">
        <v>1</v>
      </c>
      <c r="D45">
        <v>2.625</v>
      </c>
    </row>
    <row r="46" spans="1:4" x14ac:dyDescent="0.25">
      <c r="A46" t="s">
        <v>20</v>
      </c>
      <c r="B46">
        <v>9</v>
      </c>
      <c r="C46">
        <v>1</v>
      </c>
      <c r="D46">
        <v>2.6181809999999999</v>
      </c>
    </row>
    <row r="47" spans="1:4" x14ac:dyDescent="0.25">
      <c r="A47" t="s">
        <v>49</v>
      </c>
      <c r="B47">
        <v>12</v>
      </c>
      <c r="C47">
        <v>1</v>
      </c>
      <c r="D47">
        <v>2.6091950000000002</v>
      </c>
    </row>
    <row r="48" spans="1:4" x14ac:dyDescent="0.25">
      <c r="A48" t="s">
        <v>63</v>
      </c>
      <c r="B48">
        <v>10</v>
      </c>
      <c r="C48">
        <v>1</v>
      </c>
      <c r="D48">
        <v>2.6078429999999999</v>
      </c>
    </row>
    <row r="49" spans="1:4" x14ac:dyDescent="0.25">
      <c r="A49" t="s">
        <v>13</v>
      </c>
      <c r="B49">
        <v>9</v>
      </c>
      <c r="C49">
        <v>1</v>
      </c>
      <c r="D49">
        <v>2.5576919999999999</v>
      </c>
    </row>
    <row r="50" spans="1:4" x14ac:dyDescent="0.25">
      <c r="A50" t="s">
        <v>10</v>
      </c>
      <c r="B50">
        <v>12</v>
      </c>
      <c r="C50">
        <v>1</v>
      </c>
      <c r="D50">
        <v>2.5194800000000002</v>
      </c>
    </row>
    <row r="51" spans="1:4" x14ac:dyDescent="0.25">
      <c r="A51" t="s">
        <v>72</v>
      </c>
      <c r="B51">
        <v>10</v>
      </c>
      <c r="C51">
        <v>1</v>
      </c>
      <c r="D51">
        <v>2.5166659999999998</v>
      </c>
    </row>
    <row r="52" spans="1:4" x14ac:dyDescent="0.25">
      <c r="A52" t="s">
        <v>51</v>
      </c>
      <c r="B52">
        <v>10</v>
      </c>
      <c r="C52">
        <v>1</v>
      </c>
      <c r="D52">
        <v>2.5</v>
      </c>
    </row>
    <row r="53" spans="1:4" x14ac:dyDescent="0.25">
      <c r="A53" t="s">
        <v>50</v>
      </c>
      <c r="B53">
        <v>10</v>
      </c>
      <c r="C53">
        <v>1</v>
      </c>
      <c r="D53">
        <v>2.4750000000000001</v>
      </c>
    </row>
    <row r="54" spans="1:4" x14ac:dyDescent="0.25">
      <c r="A54" t="s">
        <v>62</v>
      </c>
      <c r="B54">
        <v>7</v>
      </c>
      <c r="C54">
        <v>1</v>
      </c>
      <c r="D54">
        <v>2.466666</v>
      </c>
    </row>
    <row r="55" spans="1:4" x14ac:dyDescent="0.25">
      <c r="A55" t="s">
        <v>47</v>
      </c>
      <c r="B55">
        <v>9</v>
      </c>
      <c r="C55">
        <v>1</v>
      </c>
      <c r="D55">
        <v>2.423076</v>
      </c>
    </row>
    <row r="56" spans="1:4" x14ac:dyDescent="0.25">
      <c r="A56" t="s">
        <v>19</v>
      </c>
      <c r="B56">
        <v>7</v>
      </c>
      <c r="C56">
        <v>1</v>
      </c>
      <c r="D56">
        <v>2.3958330000000001</v>
      </c>
    </row>
    <row r="57" spans="1:4" x14ac:dyDescent="0.25">
      <c r="A57" t="s">
        <v>48</v>
      </c>
      <c r="B57">
        <v>7</v>
      </c>
      <c r="C57">
        <v>1</v>
      </c>
      <c r="D57">
        <v>2.3921559999999999</v>
      </c>
    </row>
    <row r="58" spans="1:4" x14ac:dyDescent="0.25">
      <c r="A58" t="s">
        <v>57</v>
      </c>
      <c r="B58">
        <v>10</v>
      </c>
      <c r="C58">
        <v>1</v>
      </c>
      <c r="D58">
        <v>2.375</v>
      </c>
    </row>
    <row r="59" spans="1:4" x14ac:dyDescent="0.25">
      <c r="A59" t="s">
        <v>46</v>
      </c>
      <c r="B59">
        <v>7</v>
      </c>
      <c r="C59">
        <v>1</v>
      </c>
      <c r="D59">
        <v>2.2916660000000002</v>
      </c>
    </row>
    <row r="60" spans="1:4" x14ac:dyDescent="0.25">
      <c r="A60" t="s">
        <v>64</v>
      </c>
      <c r="B60">
        <v>7</v>
      </c>
      <c r="C60">
        <v>1</v>
      </c>
      <c r="D60">
        <v>2.268656</v>
      </c>
    </row>
    <row r="61" spans="1:4" x14ac:dyDescent="0.25">
      <c r="A61" t="s">
        <v>31</v>
      </c>
      <c r="B61">
        <v>8</v>
      </c>
      <c r="C61">
        <v>1</v>
      </c>
      <c r="D61">
        <v>2.135135</v>
      </c>
    </row>
    <row r="62" spans="1:4" x14ac:dyDescent="0.25">
      <c r="A62" t="s">
        <v>56</v>
      </c>
      <c r="B62">
        <v>7</v>
      </c>
      <c r="C62">
        <v>1</v>
      </c>
      <c r="D62">
        <v>2.0925919999999998</v>
      </c>
    </row>
    <row r="63" spans="1:4" x14ac:dyDescent="0.25">
      <c r="A63" t="s">
        <v>55</v>
      </c>
      <c r="B63">
        <v>5</v>
      </c>
      <c r="C63">
        <v>1</v>
      </c>
      <c r="D63">
        <v>2.0526309999999999</v>
      </c>
    </row>
    <row r="64" spans="1:4" x14ac:dyDescent="0.25">
      <c r="A64" t="s">
        <v>59</v>
      </c>
      <c r="B64">
        <v>6</v>
      </c>
      <c r="C64">
        <v>1</v>
      </c>
      <c r="D64">
        <v>2</v>
      </c>
    </row>
    <row r="65" spans="1:4" x14ac:dyDescent="0.25">
      <c r="A65" t="s">
        <v>40</v>
      </c>
      <c r="B65">
        <v>5</v>
      </c>
      <c r="C65">
        <v>1</v>
      </c>
      <c r="D65">
        <v>1.9782599999999999</v>
      </c>
    </row>
    <row r="66" spans="1:4" x14ac:dyDescent="0.25">
      <c r="A66" t="s">
        <v>30</v>
      </c>
      <c r="B66">
        <v>5</v>
      </c>
      <c r="C66">
        <v>1</v>
      </c>
      <c r="D66">
        <v>1.9772719999999999</v>
      </c>
    </row>
    <row r="67" spans="1:4" x14ac:dyDescent="0.25">
      <c r="A67" t="s">
        <v>54</v>
      </c>
      <c r="B67">
        <v>6</v>
      </c>
      <c r="C67">
        <v>1</v>
      </c>
      <c r="D67">
        <v>1.948717</v>
      </c>
    </row>
    <row r="68" spans="1:4" x14ac:dyDescent="0.25">
      <c r="A68" t="s">
        <v>52</v>
      </c>
      <c r="B68">
        <v>6</v>
      </c>
      <c r="C68">
        <v>1</v>
      </c>
      <c r="D68">
        <v>1.88</v>
      </c>
    </row>
    <row r="69" spans="1:4" x14ac:dyDescent="0.25">
      <c r="A69" t="s">
        <v>53</v>
      </c>
      <c r="B69">
        <v>5</v>
      </c>
      <c r="C69">
        <v>1</v>
      </c>
      <c r="D69">
        <v>1.8205119999999999</v>
      </c>
    </row>
    <row r="70" spans="1:4" x14ac:dyDescent="0.25">
      <c r="A70" t="s">
        <v>4</v>
      </c>
      <c r="B70">
        <v>4</v>
      </c>
      <c r="C70">
        <v>1</v>
      </c>
      <c r="D70">
        <v>1.6896549999999999</v>
      </c>
    </row>
  </sheetData>
  <sortState xmlns:xlrd2="http://schemas.microsoft.com/office/spreadsheetml/2017/richdata2" ref="A2:D70">
    <sortCondition descending="1" ref="D2:D70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A92F-913F-4696-8472-13DE73F6CB1D}">
  <dimension ref="A1:K56"/>
  <sheetViews>
    <sheetView workbookViewId="0">
      <selection activeCell="B4" sqref="B4"/>
    </sheetView>
  </sheetViews>
  <sheetFormatPr defaultRowHeight="15" x14ac:dyDescent="0.25"/>
  <cols>
    <col min="1" max="1" width="7.85546875" bestFit="1" customWidth="1"/>
    <col min="2" max="2" width="11.7109375" bestFit="1" customWidth="1"/>
    <col min="3" max="3" width="11.42578125" bestFit="1" customWidth="1"/>
    <col min="4" max="4" width="11.140625" bestFit="1" customWidth="1"/>
    <col min="8" max="8" width="11.7109375" bestFit="1" customWidth="1"/>
  </cols>
  <sheetData>
    <row r="1" spans="1:11" x14ac:dyDescent="0.25">
      <c r="A1" t="s">
        <v>0</v>
      </c>
      <c r="B1" t="s">
        <v>73</v>
      </c>
      <c r="C1" t="s">
        <v>74</v>
      </c>
      <c r="D1" t="s">
        <v>75</v>
      </c>
      <c r="G1" t="s">
        <v>0</v>
      </c>
      <c r="H1" t="s">
        <v>73</v>
      </c>
      <c r="J1" t="s">
        <v>0</v>
      </c>
      <c r="K1" t="s">
        <v>75</v>
      </c>
    </row>
    <row r="2" spans="1:11" x14ac:dyDescent="0.25">
      <c r="A2" t="s">
        <v>24</v>
      </c>
      <c r="B2">
        <v>264</v>
      </c>
      <c r="C2">
        <v>1</v>
      </c>
      <c r="D2">
        <v>25.666665999999999</v>
      </c>
      <c r="G2" t="s">
        <v>24</v>
      </c>
      <c r="H2">
        <v>264</v>
      </c>
      <c r="J2" t="s">
        <v>29</v>
      </c>
      <c r="K2">
        <v>82.5</v>
      </c>
    </row>
    <row r="3" spans="1:11" x14ac:dyDescent="0.25">
      <c r="A3" t="s">
        <v>27</v>
      </c>
      <c r="B3">
        <v>163</v>
      </c>
      <c r="C3">
        <v>5</v>
      </c>
      <c r="D3">
        <v>45</v>
      </c>
    </row>
    <row r="4" spans="1:11" x14ac:dyDescent="0.25">
      <c r="A4" t="s">
        <v>29</v>
      </c>
      <c r="B4">
        <v>109</v>
      </c>
      <c r="C4">
        <v>56</v>
      </c>
      <c r="D4">
        <v>82.5</v>
      </c>
    </row>
    <row r="5" spans="1:11" x14ac:dyDescent="0.25">
      <c r="A5" t="s">
        <v>20</v>
      </c>
      <c r="B5">
        <v>92</v>
      </c>
      <c r="C5">
        <v>27</v>
      </c>
      <c r="D5">
        <v>59.5</v>
      </c>
    </row>
    <row r="6" spans="1:11" x14ac:dyDescent="0.25">
      <c r="A6" t="s">
        <v>34</v>
      </c>
      <c r="B6">
        <v>70</v>
      </c>
      <c r="C6">
        <v>1</v>
      </c>
      <c r="D6">
        <v>21</v>
      </c>
    </row>
    <row r="7" spans="1:11" x14ac:dyDescent="0.25">
      <c r="A7" t="s">
        <v>30</v>
      </c>
      <c r="B7">
        <v>69</v>
      </c>
      <c r="C7">
        <v>2</v>
      </c>
      <c r="D7">
        <v>35.5</v>
      </c>
    </row>
    <row r="8" spans="1:11" x14ac:dyDescent="0.25">
      <c r="A8" t="s">
        <v>26</v>
      </c>
      <c r="B8">
        <v>65</v>
      </c>
      <c r="C8">
        <v>1</v>
      </c>
      <c r="D8">
        <v>22.333333</v>
      </c>
    </row>
    <row r="9" spans="1:11" x14ac:dyDescent="0.25">
      <c r="A9" t="s">
        <v>25</v>
      </c>
      <c r="B9">
        <v>48</v>
      </c>
      <c r="C9">
        <v>1</v>
      </c>
      <c r="D9">
        <v>15.833333</v>
      </c>
    </row>
    <row r="10" spans="1:11" x14ac:dyDescent="0.25">
      <c r="A10" t="s">
        <v>33</v>
      </c>
      <c r="B10">
        <v>48</v>
      </c>
      <c r="C10">
        <v>2</v>
      </c>
      <c r="D10">
        <v>10.428571</v>
      </c>
    </row>
    <row r="11" spans="1:11" x14ac:dyDescent="0.25">
      <c r="A11" t="s">
        <v>32</v>
      </c>
      <c r="B11">
        <v>27</v>
      </c>
      <c r="C11">
        <v>26</v>
      </c>
      <c r="D11">
        <v>26.5</v>
      </c>
    </row>
    <row r="12" spans="1:11" x14ac:dyDescent="0.25">
      <c r="A12" t="s">
        <v>37</v>
      </c>
      <c r="B12">
        <v>17</v>
      </c>
      <c r="C12">
        <v>1</v>
      </c>
      <c r="D12">
        <v>4.6956519999999999</v>
      </c>
    </row>
    <row r="13" spans="1:11" x14ac:dyDescent="0.25">
      <c r="A13" t="s">
        <v>15</v>
      </c>
      <c r="B13">
        <v>16</v>
      </c>
      <c r="C13">
        <v>1</v>
      </c>
      <c r="D13">
        <v>5.1111110000000002</v>
      </c>
    </row>
    <row r="14" spans="1:11" x14ac:dyDescent="0.25">
      <c r="A14" t="s">
        <v>63</v>
      </c>
      <c r="B14">
        <v>12</v>
      </c>
      <c r="C14">
        <v>4</v>
      </c>
      <c r="D14">
        <v>8</v>
      </c>
    </row>
    <row r="15" spans="1:11" x14ac:dyDescent="0.25">
      <c r="A15" t="s">
        <v>69</v>
      </c>
      <c r="B15">
        <v>11</v>
      </c>
      <c r="C15">
        <v>1</v>
      </c>
      <c r="D15">
        <v>3.2666659999999998</v>
      </c>
    </row>
    <row r="16" spans="1:11" x14ac:dyDescent="0.25">
      <c r="A16" t="s">
        <v>53</v>
      </c>
      <c r="B16">
        <v>10</v>
      </c>
      <c r="C16">
        <v>1</v>
      </c>
      <c r="D16">
        <v>2.7142849999999998</v>
      </c>
    </row>
    <row r="17" spans="1:4" x14ac:dyDescent="0.25">
      <c r="A17" t="s">
        <v>64</v>
      </c>
      <c r="B17">
        <v>9</v>
      </c>
      <c r="C17">
        <v>1</v>
      </c>
      <c r="D17">
        <v>3.9428570000000001</v>
      </c>
    </row>
    <row r="18" spans="1:4" x14ac:dyDescent="0.25">
      <c r="A18" t="s">
        <v>11</v>
      </c>
      <c r="B18">
        <v>8</v>
      </c>
      <c r="C18">
        <v>1</v>
      </c>
      <c r="D18">
        <v>2.1666660000000002</v>
      </c>
    </row>
    <row r="19" spans="1:4" x14ac:dyDescent="0.25">
      <c r="A19" t="s">
        <v>14</v>
      </c>
      <c r="B19">
        <v>8</v>
      </c>
      <c r="C19">
        <v>8</v>
      </c>
      <c r="D19">
        <v>8</v>
      </c>
    </row>
    <row r="20" spans="1:4" x14ac:dyDescent="0.25">
      <c r="A20" t="s">
        <v>19</v>
      </c>
      <c r="B20">
        <v>8</v>
      </c>
      <c r="C20">
        <v>8</v>
      </c>
      <c r="D20">
        <v>8</v>
      </c>
    </row>
    <row r="21" spans="1:4" x14ac:dyDescent="0.25">
      <c r="A21" t="s">
        <v>4</v>
      </c>
      <c r="B21">
        <v>7</v>
      </c>
      <c r="C21">
        <v>5</v>
      </c>
      <c r="D21">
        <v>6</v>
      </c>
    </row>
    <row r="22" spans="1:4" x14ac:dyDescent="0.25">
      <c r="A22" t="s">
        <v>36</v>
      </c>
      <c r="B22">
        <v>7</v>
      </c>
      <c r="C22">
        <v>1</v>
      </c>
      <c r="D22">
        <v>2.4285709999999998</v>
      </c>
    </row>
    <row r="23" spans="1:4" x14ac:dyDescent="0.25">
      <c r="A23" t="s">
        <v>44</v>
      </c>
      <c r="B23">
        <v>7</v>
      </c>
      <c r="C23">
        <v>2</v>
      </c>
      <c r="D23">
        <v>4.5</v>
      </c>
    </row>
    <row r="24" spans="1:4" x14ac:dyDescent="0.25">
      <c r="A24" t="s">
        <v>61</v>
      </c>
      <c r="B24">
        <v>7</v>
      </c>
      <c r="C24">
        <v>1</v>
      </c>
      <c r="D24">
        <v>3.8</v>
      </c>
    </row>
    <row r="25" spans="1:4" x14ac:dyDescent="0.25">
      <c r="A25" t="s">
        <v>68</v>
      </c>
      <c r="B25">
        <v>7</v>
      </c>
      <c r="C25">
        <v>1</v>
      </c>
      <c r="D25">
        <v>2.1111110000000002</v>
      </c>
    </row>
    <row r="26" spans="1:4" x14ac:dyDescent="0.25">
      <c r="A26" t="s">
        <v>5</v>
      </c>
      <c r="B26">
        <v>6</v>
      </c>
      <c r="C26">
        <v>1</v>
      </c>
      <c r="D26">
        <v>2.2000000000000002</v>
      </c>
    </row>
    <row r="27" spans="1:4" x14ac:dyDescent="0.25">
      <c r="A27" t="s">
        <v>10</v>
      </c>
      <c r="B27">
        <v>6</v>
      </c>
      <c r="C27">
        <v>1</v>
      </c>
      <c r="D27">
        <v>3.1428569999999998</v>
      </c>
    </row>
    <row r="28" spans="1:4" x14ac:dyDescent="0.25">
      <c r="A28" t="s">
        <v>17</v>
      </c>
      <c r="B28">
        <v>6</v>
      </c>
      <c r="C28">
        <v>1</v>
      </c>
      <c r="D28">
        <v>3.75</v>
      </c>
    </row>
    <row r="29" spans="1:4" x14ac:dyDescent="0.25">
      <c r="A29" t="s">
        <v>22</v>
      </c>
      <c r="B29">
        <v>6</v>
      </c>
      <c r="C29">
        <v>1</v>
      </c>
      <c r="D29">
        <v>3.2272720000000001</v>
      </c>
    </row>
    <row r="30" spans="1:4" x14ac:dyDescent="0.25">
      <c r="A30" t="s">
        <v>42</v>
      </c>
      <c r="B30">
        <v>6</v>
      </c>
      <c r="C30">
        <v>6</v>
      </c>
      <c r="D30">
        <v>6</v>
      </c>
    </row>
    <row r="31" spans="1:4" x14ac:dyDescent="0.25">
      <c r="A31" t="s">
        <v>66</v>
      </c>
      <c r="B31">
        <v>6</v>
      </c>
      <c r="C31">
        <v>6</v>
      </c>
      <c r="D31">
        <v>6</v>
      </c>
    </row>
    <row r="32" spans="1:4" x14ac:dyDescent="0.25">
      <c r="A32" t="s">
        <v>49</v>
      </c>
      <c r="B32">
        <v>5</v>
      </c>
      <c r="C32">
        <v>5</v>
      </c>
      <c r="D32">
        <v>5</v>
      </c>
    </row>
    <row r="33" spans="1:4" x14ac:dyDescent="0.25">
      <c r="A33" t="s">
        <v>56</v>
      </c>
      <c r="B33">
        <v>5</v>
      </c>
      <c r="C33">
        <v>5</v>
      </c>
      <c r="D33">
        <v>5</v>
      </c>
    </row>
    <row r="34" spans="1:4" x14ac:dyDescent="0.25">
      <c r="A34" t="s">
        <v>59</v>
      </c>
      <c r="B34">
        <v>5</v>
      </c>
      <c r="C34">
        <v>1</v>
      </c>
      <c r="D34">
        <v>1.9729719999999999</v>
      </c>
    </row>
    <row r="35" spans="1:4" x14ac:dyDescent="0.25">
      <c r="A35" t="s">
        <v>62</v>
      </c>
      <c r="B35">
        <v>5</v>
      </c>
      <c r="C35">
        <v>1</v>
      </c>
      <c r="D35">
        <v>2</v>
      </c>
    </row>
    <row r="36" spans="1:4" x14ac:dyDescent="0.25">
      <c r="A36" t="s">
        <v>18</v>
      </c>
      <c r="B36">
        <v>4</v>
      </c>
      <c r="C36">
        <v>2</v>
      </c>
      <c r="D36">
        <v>2.1538460000000001</v>
      </c>
    </row>
    <row r="37" spans="1:4" x14ac:dyDescent="0.25">
      <c r="A37" t="s">
        <v>23</v>
      </c>
      <c r="B37">
        <v>4</v>
      </c>
      <c r="C37">
        <v>1</v>
      </c>
      <c r="D37">
        <v>2</v>
      </c>
    </row>
    <row r="38" spans="1:4" x14ac:dyDescent="0.25">
      <c r="A38" t="s">
        <v>38</v>
      </c>
      <c r="B38">
        <v>4</v>
      </c>
      <c r="C38">
        <v>1</v>
      </c>
      <c r="D38">
        <v>1.636363</v>
      </c>
    </row>
    <row r="39" spans="1:4" x14ac:dyDescent="0.25">
      <c r="A39" t="s">
        <v>60</v>
      </c>
      <c r="B39">
        <v>4</v>
      </c>
      <c r="C39">
        <v>3</v>
      </c>
      <c r="D39">
        <v>3.5</v>
      </c>
    </row>
    <row r="40" spans="1:4" x14ac:dyDescent="0.25">
      <c r="A40" t="s">
        <v>8</v>
      </c>
      <c r="B40">
        <v>3</v>
      </c>
      <c r="C40">
        <v>1</v>
      </c>
      <c r="D40">
        <v>1.6451610000000001</v>
      </c>
    </row>
    <row r="41" spans="1:4" x14ac:dyDescent="0.25">
      <c r="A41" t="s">
        <v>50</v>
      </c>
      <c r="B41">
        <v>3</v>
      </c>
      <c r="C41">
        <v>1</v>
      </c>
      <c r="D41">
        <v>1.421052</v>
      </c>
    </row>
    <row r="42" spans="1:4" x14ac:dyDescent="0.25">
      <c r="A42" t="s">
        <v>65</v>
      </c>
      <c r="B42">
        <v>3</v>
      </c>
      <c r="C42">
        <v>1</v>
      </c>
      <c r="D42">
        <v>2</v>
      </c>
    </row>
    <row r="43" spans="1:4" x14ac:dyDescent="0.25">
      <c r="A43" t="s">
        <v>70</v>
      </c>
      <c r="B43">
        <v>3</v>
      </c>
      <c r="C43">
        <v>2</v>
      </c>
      <c r="D43">
        <v>2.3333330000000001</v>
      </c>
    </row>
    <row r="44" spans="1:4" x14ac:dyDescent="0.25">
      <c r="A44" t="s">
        <v>72</v>
      </c>
      <c r="B44">
        <v>3</v>
      </c>
      <c r="C44">
        <v>1</v>
      </c>
      <c r="D44">
        <v>2</v>
      </c>
    </row>
    <row r="45" spans="1:4" x14ac:dyDescent="0.25">
      <c r="A45" t="s">
        <v>6</v>
      </c>
      <c r="B45">
        <v>2</v>
      </c>
      <c r="C45">
        <v>1</v>
      </c>
      <c r="D45">
        <v>1.3333330000000001</v>
      </c>
    </row>
    <row r="46" spans="1:4" x14ac:dyDescent="0.25">
      <c r="A46" t="s">
        <v>28</v>
      </c>
      <c r="B46">
        <v>2</v>
      </c>
      <c r="C46">
        <v>2</v>
      </c>
      <c r="D46">
        <v>2</v>
      </c>
    </row>
    <row r="47" spans="1:4" x14ac:dyDescent="0.25">
      <c r="A47" t="s">
        <v>39</v>
      </c>
      <c r="B47">
        <v>2</v>
      </c>
      <c r="C47">
        <v>2</v>
      </c>
      <c r="D47">
        <v>2</v>
      </c>
    </row>
    <row r="48" spans="1:4" x14ac:dyDescent="0.25">
      <c r="A48" t="s">
        <v>43</v>
      </c>
      <c r="B48">
        <v>2</v>
      </c>
      <c r="C48">
        <v>1</v>
      </c>
      <c r="D48">
        <v>1.6</v>
      </c>
    </row>
    <row r="49" spans="1:4" x14ac:dyDescent="0.25">
      <c r="A49" t="s">
        <v>46</v>
      </c>
      <c r="B49">
        <v>2</v>
      </c>
      <c r="C49">
        <v>1</v>
      </c>
      <c r="D49">
        <v>1.3333330000000001</v>
      </c>
    </row>
    <row r="50" spans="1:4" x14ac:dyDescent="0.25">
      <c r="A50" t="s">
        <v>48</v>
      </c>
      <c r="B50">
        <v>2</v>
      </c>
      <c r="C50">
        <v>1</v>
      </c>
      <c r="D50">
        <v>1.25</v>
      </c>
    </row>
    <row r="51" spans="1:4" x14ac:dyDescent="0.25">
      <c r="A51" t="s">
        <v>54</v>
      </c>
      <c r="B51">
        <v>2</v>
      </c>
      <c r="C51">
        <v>1</v>
      </c>
      <c r="D51">
        <v>1.1176470000000001</v>
      </c>
    </row>
    <row r="52" spans="1:4" x14ac:dyDescent="0.25">
      <c r="A52" t="s">
        <v>55</v>
      </c>
      <c r="B52">
        <v>2</v>
      </c>
      <c r="C52">
        <v>1</v>
      </c>
      <c r="D52">
        <v>1.5</v>
      </c>
    </row>
    <row r="53" spans="1:4" x14ac:dyDescent="0.25">
      <c r="A53" t="s">
        <v>7</v>
      </c>
      <c r="B53">
        <v>1</v>
      </c>
      <c r="C53">
        <v>1</v>
      </c>
      <c r="D53">
        <v>1</v>
      </c>
    </row>
    <row r="54" spans="1:4" x14ac:dyDescent="0.25">
      <c r="A54" t="s">
        <v>12</v>
      </c>
      <c r="B54">
        <v>1</v>
      </c>
      <c r="C54">
        <v>1</v>
      </c>
      <c r="D54">
        <v>1</v>
      </c>
    </row>
    <row r="55" spans="1:4" x14ac:dyDescent="0.25">
      <c r="A55" t="s">
        <v>45</v>
      </c>
      <c r="B55">
        <v>1</v>
      </c>
      <c r="C55">
        <v>1</v>
      </c>
      <c r="D55">
        <v>1</v>
      </c>
    </row>
    <row r="56" spans="1:4" x14ac:dyDescent="0.25">
      <c r="A56" t="s">
        <v>51</v>
      </c>
      <c r="B56">
        <v>1</v>
      </c>
      <c r="C56">
        <v>1</v>
      </c>
      <c r="D56">
        <v>1</v>
      </c>
    </row>
  </sheetData>
  <sortState xmlns:xlrd2="http://schemas.microsoft.com/office/spreadsheetml/2017/richdata2" ref="A2:D56">
    <sortCondition descending="1" ref="B4:B5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582A-8C26-454E-BD8E-96BD9ED88017}">
  <dimension ref="A1:J70"/>
  <sheetViews>
    <sheetView workbookViewId="0">
      <selection activeCell="I1" sqref="I1:J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I1" t="s">
        <v>0</v>
      </c>
      <c r="J1" t="s">
        <v>3</v>
      </c>
    </row>
    <row r="2" spans="1:10" x14ac:dyDescent="0.25">
      <c r="A2" t="s">
        <v>41</v>
      </c>
      <c r="B2">
        <v>230</v>
      </c>
      <c r="C2">
        <v>2</v>
      </c>
      <c r="D2">
        <v>112.1</v>
      </c>
      <c r="F2" t="s">
        <v>41</v>
      </c>
      <c r="G2">
        <v>230</v>
      </c>
      <c r="I2" t="s">
        <v>41</v>
      </c>
      <c r="J2">
        <v>112.1</v>
      </c>
    </row>
    <row r="3" spans="1:10" x14ac:dyDescent="0.25">
      <c r="A3" t="s">
        <v>7</v>
      </c>
      <c r="B3">
        <v>122</v>
      </c>
      <c r="C3">
        <v>13</v>
      </c>
      <c r="D3">
        <v>67</v>
      </c>
    </row>
    <row r="4" spans="1:10" x14ac:dyDescent="0.25">
      <c r="A4" t="s">
        <v>69</v>
      </c>
      <c r="B4">
        <v>146</v>
      </c>
      <c r="C4">
        <v>1</v>
      </c>
      <c r="D4">
        <v>59</v>
      </c>
    </row>
    <row r="5" spans="1:10" x14ac:dyDescent="0.25">
      <c r="A5" t="s">
        <v>17</v>
      </c>
      <c r="B5">
        <v>86</v>
      </c>
      <c r="C5">
        <v>12</v>
      </c>
      <c r="D5">
        <v>58.777777</v>
      </c>
    </row>
    <row r="6" spans="1:10" x14ac:dyDescent="0.25">
      <c r="A6" t="s">
        <v>6</v>
      </c>
      <c r="B6">
        <v>87</v>
      </c>
      <c r="C6">
        <v>16</v>
      </c>
      <c r="D6">
        <v>53.666665999999999</v>
      </c>
    </row>
    <row r="7" spans="1:10" x14ac:dyDescent="0.25">
      <c r="A7" t="s">
        <v>44</v>
      </c>
      <c r="B7">
        <v>88</v>
      </c>
      <c r="C7">
        <v>6</v>
      </c>
      <c r="D7">
        <v>51.7</v>
      </c>
    </row>
    <row r="8" spans="1:10" x14ac:dyDescent="0.25">
      <c r="A8" t="s">
        <v>71</v>
      </c>
      <c r="B8">
        <v>97</v>
      </c>
      <c r="C8">
        <v>13</v>
      </c>
      <c r="D8">
        <v>51.333333000000003</v>
      </c>
    </row>
    <row r="9" spans="1:10" x14ac:dyDescent="0.25">
      <c r="A9" t="s">
        <v>25</v>
      </c>
      <c r="B9">
        <v>76</v>
      </c>
      <c r="C9">
        <v>16</v>
      </c>
      <c r="D9">
        <v>50.777777</v>
      </c>
    </row>
    <row r="10" spans="1:10" x14ac:dyDescent="0.25">
      <c r="A10" t="s">
        <v>70</v>
      </c>
      <c r="B10">
        <v>84</v>
      </c>
      <c r="C10">
        <v>18</v>
      </c>
      <c r="D10">
        <v>50</v>
      </c>
    </row>
    <row r="11" spans="1:10" x14ac:dyDescent="0.25">
      <c r="A11" t="s">
        <v>67</v>
      </c>
      <c r="B11">
        <v>72</v>
      </c>
      <c r="C11">
        <v>13</v>
      </c>
      <c r="D11">
        <v>46.777777</v>
      </c>
    </row>
    <row r="12" spans="1:10" x14ac:dyDescent="0.25">
      <c r="A12" t="s">
        <v>8</v>
      </c>
      <c r="B12">
        <v>76</v>
      </c>
      <c r="C12">
        <v>8</v>
      </c>
      <c r="D12">
        <v>44.777777</v>
      </c>
    </row>
    <row r="13" spans="1:10" x14ac:dyDescent="0.25">
      <c r="A13" t="s">
        <v>37</v>
      </c>
      <c r="B13">
        <v>70</v>
      </c>
      <c r="C13">
        <v>14</v>
      </c>
      <c r="D13">
        <v>43.777777</v>
      </c>
    </row>
    <row r="14" spans="1:10" x14ac:dyDescent="0.25">
      <c r="A14" t="s">
        <v>36</v>
      </c>
      <c r="B14">
        <v>88</v>
      </c>
      <c r="C14">
        <v>8</v>
      </c>
      <c r="D14">
        <v>43.111111000000001</v>
      </c>
    </row>
    <row r="15" spans="1:10" x14ac:dyDescent="0.25">
      <c r="A15" t="s">
        <v>66</v>
      </c>
      <c r="B15">
        <v>81</v>
      </c>
      <c r="C15">
        <v>11</v>
      </c>
      <c r="D15">
        <v>41.666665999999999</v>
      </c>
    </row>
    <row r="16" spans="1:10" x14ac:dyDescent="0.25">
      <c r="A16" t="s">
        <v>43</v>
      </c>
      <c r="B16">
        <v>77</v>
      </c>
      <c r="C16">
        <v>11</v>
      </c>
      <c r="D16">
        <v>41.222222000000002</v>
      </c>
    </row>
    <row r="17" spans="1:4" x14ac:dyDescent="0.25">
      <c r="A17" t="s">
        <v>33</v>
      </c>
      <c r="B17">
        <v>75</v>
      </c>
      <c r="C17">
        <v>6</v>
      </c>
      <c r="D17">
        <v>41</v>
      </c>
    </row>
    <row r="18" spans="1:4" x14ac:dyDescent="0.25">
      <c r="A18" t="s">
        <v>9</v>
      </c>
      <c r="B18">
        <v>62</v>
      </c>
      <c r="C18">
        <v>2</v>
      </c>
      <c r="D18">
        <v>38.700000000000003</v>
      </c>
    </row>
    <row r="19" spans="1:4" x14ac:dyDescent="0.25">
      <c r="A19" t="s">
        <v>23</v>
      </c>
      <c r="B19">
        <v>50</v>
      </c>
      <c r="C19">
        <v>17</v>
      </c>
      <c r="D19">
        <v>37.888888000000001</v>
      </c>
    </row>
    <row r="20" spans="1:4" x14ac:dyDescent="0.25">
      <c r="A20" t="s">
        <v>14</v>
      </c>
      <c r="B20">
        <v>65</v>
      </c>
      <c r="C20">
        <v>7</v>
      </c>
      <c r="D20">
        <v>37.777777</v>
      </c>
    </row>
    <row r="21" spans="1:4" x14ac:dyDescent="0.25">
      <c r="A21" t="s">
        <v>39</v>
      </c>
      <c r="B21">
        <v>69</v>
      </c>
      <c r="C21">
        <v>4</v>
      </c>
      <c r="D21">
        <v>37.111111000000001</v>
      </c>
    </row>
    <row r="22" spans="1:4" x14ac:dyDescent="0.25">
      <c r="A22" t="s">
        <v>22</v>
      </c>
      <c r="B22">
        <v>55</v>
      </c>
      <c r="C22">
        <v>11</v>
      </c>
      <c r="D22">
        <v>33</v>
      </c>
    </row>
    <row r="23" spans="1:4" x14ac:dyDescent="0.25">
      <c r="A23" t="s">
        <v>5</v>
      </c>
      <c r="B23">
        <v>49</v>
      </c>
      <c r="C23">
        <v>10</v>
      </c>
      <c r="D23">
        <v>31.222221999999999</v>
      </c>
    </row>
    <row r="24" spans="1:4" x14ac:dyDescent="0.25">
      <c r="A24" t="s">
        <v>21</v>
      </c>
      <c r="B24">
        <v>52</v>
      </c>
      <c r="C24">
        <v>7</v>
      </c>
      <c r="D24">
        <v>29.333333</v>
      </c>
    </row>
    <row r="25" spans="1:4" x14ac:dyDescent="0.25">
      <c r="A25" t="s">
        <v>12</v>
      </c>
      <c r="B25">
        <v>49</v>
      </c>
      <c r="C25">
        <v>6</v>
      </c>
      <c r="D25">
        <v>28.111111000000001</v>
      </c>
    </row>
    <row r="26" spans="1:4" x14ac:dyDescent="0.25">
      <c r="A26" t="s">
        <v>11</v>
      </c>
      <c r="B26">
        <v>34</v>
      </c>
      <c r="C26">
        <v>18</v>
      </c>
      <c r="D26">
        <v>28</v>
      </c>
    </row>
    <row r="27" spans="1:4" x14ac:dyDescent="0.25">
      <c r="A27" t="s">
        <v>16</v>
      </c>
      <c r="B27">
        <v>53</v>
      </c>
      <c r="C27">
        <v>8</v>
      </c>
      <c r="D27">
        <v>26</v>
      </c>
    </row>
    <row r="28" spans="1:4" x14ac:dyDescent="0.25">
      <c r="A28" t="s">
        <v>24</v>
      </c>
      <c r="B28">
        <v>34</v>
      </c>
      <c r="C28">
        <v>12</v>
      </c>
      <c r="D28">
        <v>25.333333</v>
      </c>
    </row>
    <row r="29" spans="1:4" x14ac:dyDescent="0.25">
      <c r="A29" t="s">
        <v>60</v>
      </c>
      <c r="B29">
        <v>38</v>
      </c>
      <c r="C29">
        <v>16</v>
      </c>
      <c r="D29">
        <v>25.111111000000001</v>
      </c>
    </row>
    <row r="30" spans="1:4" x14ac:dyDescent="0.25">
      <c r="A30" t="s">
        <v>68</v>
      </c>
      <c r="B30">
        <v>49</v>
      </c>
      <c r="C30">
        <v>6</v>
      </c>
      <c r="D30">
        <v>25</v>
      </c>
    </row>
    <row r="31" spans="1:4" x14ac:dyDescent="0.25">
      <c r="A31" t="s">
        <v>32</v>
      </c>
      <c r="B31">
        <v>32</v>
      </c>
      <c r="C31">
        <v>16</v>
      </c>
      <c r="D31">
        <v>25</v>
      </c>
    </row>
    <row r="32" spans="1:4" x14ac:dyDescent="0.25">
      <c r="A32" t="s">
        <v>38</v>
      </c>
      <c r="B32">
        <v>49</v>
      </c>
      <c r="C32">
        <v>1</v>
      </c>
      <c r="D32">
        <v>24.7</v>
      </c>
    </row>
    <row r="33" spans="1:4" x14ac:dyDescent="0.25">
      <c r="A33" t="s">
        <v>42</v>
      </c>
      <c r="B33">
        <v>42</v>
      </c>
      <c r="C33">
        <v>5</v>
      </c>
      <c r="D33">
        <v>24.111111000000001</v>
      </c>
    </row>
    <row r="34" spans="1:4" x14ac:dyDescent="0.25">
      <c r="A34" t="s">
        <v>15</v>
      </c>
      <c r="B34">
        <v>30</v>
      </c>
      <c r="C34">
        <v>13</v>
      </c>
      <c r="D34">
        <v>23.888888000000001</v>
      </c>
    </row>
    <row r="35" spans="1:4" x14ac:dyDescent="0.25">
      <c r="A35" t="s">
        <v>58</v>
      </c>
      <c r="B35">
        <v>48</v>
      </c>
      <c r="C35">
        <v>1</v>
      </c>
      <c r="D35">
        <v>22.9</v>
      </c>
    </row>
    <row r="36" spans="1:4" x14ac:dyDescent="0.25">
      <c r="A36" t="s">
        <v>49</v>
      </c>
      <c r="B36">
        <v>40</v>
      </c>
      <c r="C36">
        <v>1</v>
      </c>
      <c r="D36">
        <v>22.7</v>
      </c>
    </row>
    <row r="37" spans="1:4" x14ac:dyDescent="0.25">
      <c r="A37" t="s">
        <v>18</v>
      </c>
      <c r="B37">
        <v>39</v>
      </c>
      <c r="C37">
        <v>7</v>
      </c>
      <c r="D37">
        <v>22.444444000000001</v>
      </c>
    </row>
    <row r="38" spans="1:4" x14ac:dyDescent="0.25">
      <c r="A38" t="s">
        <v>35</v>
      </c>
      <c r="B38">
        <v>31</v>
      </c>
      <c r="C38">
        <v>15</v>
      </c>
      <c r="D38">
        <v>21.666665999999999</v>
      </c>
    </row>
    <row r="39" spans="1:4" x14ac:dyDescent="0.25">
      <c r="A39" t="s">
        <v>10</v>
      </c>
      <c r="B39">
        <v>35</v>
      </c>
      <c r="C39">
        <v>7</v>
      </c>
      <c r="D39">
        <v>21.555554999999998</v>
      </c>
    </row>
    <row r="40" spans="1:4" x14ac:dyDescent="0.25">
      <c r="A40" t="s">
        <v>61</v>
      </c>
      <c r="B40">
        <v>33</v>
      </c>
      <c r="C40">
        <v>9</v>
      </c>
      <c r="D40">
        <v>21.444444000000001</v>
      </c>
    </row>
    <row r="41" spans="1:4" x14ac:dyDescent="0.25">
      <c r="A41" t="s">
        <v>27</v>
      </c>
      <c r="B41">
        <v>35</v>
      </c>
      <c r="C41">
        <v>8</v>
      </c>
      <c r="D41">
        <v>20.888888000000001</v>
      </c>
    </row>
    <row r="42" spans="1:4" x14ac:dyDescent="0.25">
      <c r="A42" t="s">
        <v>26</v>
      </c>
      <c r="B42">
        <v>35</v>
      </c>
      <c r="C42">
        <v>7</v>
      </c>
      <c r="D42">
        <v>20.111111000000001</v>
      </c>
    </row>
    <row r="43" spans="1:4" x14ac:dyDescent="0.25">
      <c r="A43" t="s">
        <v>34</v>
      </c>
      <c r="B43">
        <v>42</v>
      </c>
      <c r="C43">
        <v>2</v>
      </c>
      <c r="D43">
        <v>19.666665999999999</v>
      </c>
    </row>
    <row r="44" spans="1:4" x14ac:dyDescent="0.25">
      <c r="A44" t="s">
        <v>65</v>
      </c>
      <c r="B44">
        <v>30</v>
      </c>
      <c r="C44">
        <v>4</v>
      </c>
      <c r="D44">
        <v>17.555554999999998</v>
      </c>
    </row>
    <row r="45" spans="1:4" x14ac:dyDescent="0.25">
      <c r="A45" t="s">
        <v>28</v>
      </c>
      <c r="B45">
        <v>40</v>
      </c>
      <c r="C45">
        <v>7</v>
      </c>
      <c r="D45">
        <v>17.111111000000001</v>
      </c>
    </row>
    <row r="46" spans="1:4" x14ac:dyDescent="0.25">
      <c r="A46" t="s">
        <v>64</v>
      </c>
      <c r="B46">
        <v>30</v>
      </c>
      <c r="C46">
        <v>1</v>
      </c>
      <c r="D46">
        <v>16.888888000000001</v>
      </c>
    </row>
    <row r="47" spans="1:4" x14ac:dyDescent="0.25">
      <c r="A47" t="s">
        <v>29</v>
      </c>
      <c r="B47">
        <v>29</v>
      </c>
      <c r="C47">
        <v>6</v>
      </c>
      <c r="D47">
        <v>16.888888000000001</v>
      </c>
    </row>
    <row r="48" spans="1:4" x14ac:dyDescent="0.25">
      <c r="A48" t="s">
        <v>72</v>
      </c>
      <c r="B48">
        <v>27</v>
      </c>
      <c r="C48">
        <v>6</v>
      </c>
      <c r="D48">
        <v>16.777777</v>
      </c>
    </row>
    <row r="49" spans="1:4" x14ac:dyDescent="0.25">
      <c r="A49" t="s">
        <v>20</v>
      </c>
      <c r="B49">
        <v>21</v>
      </c>
      <c r="C49">
        <v>8</v>
      </c>
      <c r="D49">
        <v>16</v>
      </c>
    </row>
    <row r="50" spans="1:4" x14ac:dyDescent="0.25">
      <c r="A50" t="s">
        <v>48</v>
      </c>
      <c r="B50">
        <v>24</v>
      </c>
      <c r="C50">
        <v>9</v>
      </c>
      <c r="D50">
        <v>15.25</v>
      </c>
    </row>
    <row r="51" spans="1:4" x14ac:dyDescent="0.25">
      <c r="A51" t="s">
        <v>57</v>
      </c>
      <c r="B51">
        <v>33</v>
      </c>
      <c r="C51">
        <v>1</v>
      </c>
      <c r="D51">
        <v>14.777777</v>
      </c>
    </row>
    <row r="52" spans="1:4" x14ac:dyDescent="0.25">
      <c r="A52" t="s">
        <v>13</v>
      </c>
      <c r="B52">
        <v>25</v>
      </c>
      <c r="C52">
        <v>4</v>
      </c>
      <c r="D52">
        <v>14.777777</v>
      </c>
    </row>
    <row r="53" spans="1:4" x14ac:dyDescent="0.25">
      <c r="A53" t="s">
        <v>63</v>
      </c>
      <c r="B53">
        <v>19</v>
      </c>
      <c r="C53">
        <v>5</v>
      </c>
      <c r="D53">
        <v>14.777777</v>
      </c>
    </row>
    <row r="54" spans="1:4" x14ac:dyDescent="0.25">
      <c r="A54" t="s">
        <v>19</v>
      </c>
      <c r="B54">
        <v>24</v>
      </c>
      <c r="C54">
        <v>8</v>
      </c>
      <c r="D54">
        <v>12.777777</v>
      </c>
    </row>
    <row r="55" spans="1:4" x14ac:dyDescent="0.25">
      <c r="A55" t="s">
        <v>51</v>
      </c>
      <c r="B55">
        <v>19</v>
      </c>
      <c r="C55">
        <v>6</v>
      </c>
      <c r="D55">
        <v>12.777777</v>
      </c>
    </row>
    <row r="56" spans="1:4" x14ac:dyDescent="0.25">
      <c r="A56" t="s">
        <v>56</v>
      </c>
      <c r="B56">
        <v>19</v>
      </c>
      <c r="C56">
        <v>3</v>
      </c>
      <c r="D56">
        <v>12.555555</v>
      </c>
    </row>
    <row r="57" spans="1:4" x14ac:dyDescent="0.25">
      <c r="A57" t="s">
        <v>62</v>
      </c>
      <c r="B57">
        <v>26</v>
      </c>
      <c r="C57">
        <v>4</v>
      </c>
      <c r="D57">
        <v>12.333333</v>
      </c>
    </row>
    <row r="58" spans="1:4" x14ac:dyDescent="0.25">
      <c r="A58" t="s">
        <v>46</v>
      </c>
      <c r="B58">
        <v>20</v>
      </c>
      <c r="C58">
        <v>6</v>
      </c>
      <c r="D58">
        <v>12.222222</v>
      </c>
    </row>
    <row r="59" spans="1:4" x14ac:dyDescent="0.25">
      <c r="A59" t="s">
        <v>59</v>
      </c>
      <c r="B59">
        <v>18</v>
      </c>
      <c r="C59">
        <v>5</v>
      </c>
      <c r="D59">
        <v>12.222222</v>
      </c>
    </row>
    <row r="60" spans="1:4" x14ac:dyDescent="0.25">
      <c r="A60" t="s">
        <v>50</v>
      </c>
      <c r="B60">
        <v>15</v>
      </c>
      <c r="C60">
        <v>2</v>
      </c>
      <c r="D60">
        <v>11</v>
      </c>
    </row>
    <row r="61" spans="1:4" x14ac:dyDescent="0.25">
      <c r="A61" t="s">
        <v>52</v>
      </c>
      <c r="B61">
        <v>20</v>
      </c>
      <c r="C61">
        <v>1</v>
      </c>
      <c r="D61">
        <v>10.444444000000001</v>
      </c>
    </row>
    <row r="62" spans="1:4" x14ac:dyDescent="0.25">
      <c r="A62" t="s">
        <v>40</v>
      </c>
      <c r="B62">
        <v>17</v>
      </c>
      <c r="C62">
        <v>4</v>
      </c>
      <c r="D62">
        <v>10.111110999999999</v>
      </c>
    </row>
    <row r="63" spans="1:4" x14ac:dyDescent="0.25">
      <c r="A63" t="s">
        <v>30</v>
      </c>
      <c r="B63">
        <v>21</v>
      </c>
      <c r="C63">
        <v>4</v>
      </c>
      <c r="D63">
        <v>9.6666659999999993</v>
      </c>
    </row>
    <row r="64" spans="1:4" x14ac:dyDescent="0.25">
      <c r="A64" t="s">
        <v>54</v>
      </c>
      <c r="B64">
        <v>16</v>
      </c>
      <c r="C64">
        <v>3</v>
      </c>
      <c r="D64">
        <v>9.5</v>
      </c>
    </row>
    <row r="65" spans="1:4" x14ac:dyDescent="0.25">
      <c r="A65" t="s">
        <v>45</v>
      </c>
      <c r="B65">
        <v>17</v>
      </c>
      <c r="C65">
        <v>5</v>
      </c>
      <c r="D65">
        <v>9.3333329999999997</v>
      </c>
    </row>
    <row r="66" spans="1:4" x14ac:dyDescent="0.25">
      <c r="A66" t="s">
        <v>31</v>
      </c>
      <c r="B66">
        <v>18</v>
      </c>
      <c r="C66">
        <v>4</v>
      </c>
      <c r="D66">
        <v>8.7777770000000004</v>
      </c>
    </row>
    <row r="67" spans="1:4" x14ac:dyDescent="0.25">
      <c r="A67" t="s">
        <v>55</v>
      </c>
      <c r="B67">
        <v>14</v>
      </c>
      <c r="C67">
        <v>4</v>
      </c>
      <c r="D67">
        <v>8.6666659999999993</v>
      </c>
    </row>
    <row r="68" spans="1:4" x14ac:dyDescent="0.25">
      <c r="A68" t="s">
        <v>53</v>
      </c>
      <c r="B68">
        <v>12</v>
      </c>
      <c r="C68">
        <v>4</v>
      </c>
      <c r="D68">
        <v>7.8888879999999997</v>
      </c>
    </row>
    <row r="69" spans="1:4" x14ac:dyDescent="0.25">
      <c r="A69" t="s">
        <v>47</v>
      </c>
      <c r="B69">
        <v>12</v>
      </c>
      <c r="C69">
        <v>1</v>
      </c>
      <c r="D69">
        <v>6.3</v>
      </c>
    </row>
    <row r="70" spans="1:4" x14ac:dyDescent="0.25">
      <c r="A70" t="s">
        <v>4</v>
      </c>
      <c r="B70">
        <v>12</v>
      </c>
      <c r="C70">
        <v>1</v>
      </c>
      <c r="D70">
        <v>5.4444439999999998</v>
      </c>
    </row>
  </sheetData>
  <sortState xmlns:xlrd2="http://schemas.microsoft.com/office/spreadsheetml/2017/richdata2" ref="A2:D70">
    <sortCondition descending="1" ref="D2:D7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52C7-7621-4001-8870-C7759A5C123D}">
  <dimension ref="A1:J56"/>
  <sheetViews>
    <sheetView workbookViewId="0">
      <selection activeCell="B2" sqref="B2"/>
    </sheetView>
  </sheetViews>
  <sheetFormatPr defaultRowHeight="15" x14ac:dyDescent="0.25"/>
  <cols>
    <col min="1" max="1" width="7.85546875" bestFit="1" customWidth="1"/>
    <col min="2" max="2" width="10.7109375" bestFit="1" customWidth="1"/>
    <col min="3" max="3" width="10.42578125" bestFit="1" customWidth="1"/>
    <col min="4" max="4" width="10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I1" t="s">
        <v>0</v>
      </c>
      <c r="J1" t="s">
        <v>3</v>
      </c>
    </row>
    <row r="2" spans="1:10" x14ac:dyDescent="0.25">
      <c r="A2" t="s">
        <v>24</v>
      </c>
      <c r="B2">
        <v>264</v>
      </c>
      <c r="C2">
        <v>2</v>
      </c>
      <c r="D2">
        <v>61.6</v>
      </c>
      <c r="F2" t="s">
        <v>24</v>
      </c>
      <c r="G2">
        <v>264</v>
      </c>
      <c r="I2" t="s">
        <v>29</v>
      </c>
      <c r="J2">
        <v>165</v>
      </c>
    </row>
    <row r="3" spans="1:10" x14ac:dyDescent="0.25">
      <c r="A3" t="s">
        <v>29</v>
      </c>
      <c r="B3">
        <v>165</v>
      </c>
      <c r="C3">
        <v>165</v>
      </c>
      <c r="D3">
        <v>165</v>
      </c>
    </row>
    <row r="4" spans="1:10" x14ac:dyDescent="0.25">
      <c r="A4" t="s">
        <v>27</v>
      </c>
      <c r="B4">
        <v>163</v>
      </c>
      <c r="C4">
        <v>17</v>
      </c>
      <c r="D4">
        <v>90</v>
      </c>
    </row>
    <row r="5" spans="1:10" x14ac:dyDescent="0.25">
      <c r="A5" t="s">
        <v>20</v>
      </c>
      <c r="B5">
        <v>119</v>
      </c>
      <c r="C5">
        <v>119</v>
      </c>
      <c r="D5">
        <v>119</v>
      </c>
    </row>
    <row r="6" spans="1:10" x14ac:dyDescent="0.25">
      <c r="A6" t="s">
        <v>34</v>
      </c>
      <c r="B6">
        <v>102</v>
      </c>
      <c r="C6">
        <v>3</v>
      </c>
      <c r="D6">
        <v>52.5</v>
      </c>
    </row>
    <row r="7" spans="1:10" x14ac:dyDescent="0.25">
      <c r="A7" t="s">
        <v>25</v>
      </c>
      <c r="B7">
        <v>90</v>
      </c>
      <c r="C7">
        <v>5</v>
      </c>
      <c r="D7">
        <v>47.5</v>
      </c>
    </row>
    <row r="8" spans="1:10" x14ac:dyDescent="0.25">
      <c r="A8" t="s">
        <v>33</v>
      </c>
      <c r="B8">
        <v>74</v>
      </c>
      <c r="C8">
        <v>3</v>
      </c>
      <c r="D8">
        <v>20.857142</v>
      </c>
    </row>
    <row r="9" spans="1:10" x14ac:dyDescent="0.25">
      <c r="A9" t="s">
        <v>30</v>
      </c>
      <c r="B9">
        <v>69</v>
      </c>
      <c r="C9">
        <v>2</v>
      </c>
      <c r="D9">
        <v>35.5</v>
      </c>
    </row>
    <row r="10" spans="1:10" x14ac:dyDescent="0.25">
      <c r="A10" t="s">
        <v>26</v>
      </c>
      <c r="B10">
        <v>65</v>
      </c>
      <c r="C10">
        <v>1</v>
      </c>
      <c r="D10">
        <v>22.333333</v>
      </c>
    </row>
    <row r="11" spans="1:10" x14ac:dyDescent="0.25">
      <c r="A11" t="s">
        <v>69</v>
      </c>
      <c r="B11">
        <v>59</v>
      </c>
      <c r="C11">
        <v>5</v>
      </c>
      <c r="D11">
        <v>21.777777</v>
      </c>
    </row>
    <row r="12" spans="1:10" x14ac:dyDescent="0.25">
      <c r="A12" t="s">
        <v>64</v>
      </c>
      <c r="B12">
        <v>58</v>
      </c>
      <c r="C12">
        <v>2</v>
      </c>
      <c r="D12">
        <v>19.714285</v>
      </c>
    </row>
    <row r="13" spans="1:10" x14ac:dyDescent="0.25">
      <c r="A13" t="s">
        <v>37</v>
      </c>
      <c r="B13">
        <v>55</v>
      </c>
      <c r="C13">
        <v>5</v>
      </c>
      <c r="D13">
        <v>36</v>
      </c>
    </row>
    <row r="14" spans="1:10" x14ac:dyDescent="0.25">
      <c r="A14" t="s">
        <v>32</v>
      </c>
      <c r="B14">
        <v>53</v>
      </c>
      <c r="C14">
        <v>53</v>
      </c>
      <c r="D14">
        <v>53</v>
      </c>
    </row>
    <row r="15" spans="1:10" x14ac:dyDescent="0.25">
      <c r="A15" t="s">
        <v>22</v>
      </c>
      <c r="B15">
        <v>20</v>
      </c>
      <c r="C15">
        <v>1</v>
      </c>
      <c r="D15">
        <v>7.8888879999999997</v>
      </c>
    </row>
    <row r="16" spans="1:10" x14ac:dyDescent="0.25">
      <c r="A16" t="s">
        <v>53</v>
      </c>
      <c r="B16">
        <v>20</v>
      </c>
      <c r="C16">
        <v>3</v>
      </c>
      <c r="D16">
        <v>12.666665999999999</v>
      </c>
    </row>
    <row r="17" spans="1:4" x14ac:dyDescent="0.25">
      <c r="A17" t="s">
        <v>8</v>
      </c>
      <c r="B17">
        <v>19</v>
      </c>
      <c r="C17">
        <v>2</v>
      </c>
      <c r="D17">
        <v>11.333333</v>
      </c>
    </row>
    <row r="18" spans="1:4" x14ac:dyDescent="0.25">
      <c r="A18" t="s">
        <v>59</v>
      </c>
      <c r="B18">
        <v>18</v>
      </c>
      <c r="C18">
        <v>2</v>
      </c>
      <c r="D18">
        <v>9.125</v>
      </c>
    </row>
    <row r="19" spans="1:4" x14ac:dyDescent="0.25">
      <c r="A19" t="s">
        <v>15</v>
      </c>
      <c r="B19">
        <v>16</v>
      </c>
      <c r="C19">
        <v>1</v>
      </c>
      <c r="D19">
        <v>6.571428</v>
      </c>
    </row>
    <row r="20" spans="1:4" x14ac:dyDescent="0.25">
      <c r="A20" t="s">
        <v>63</v>
      </c>
      <c r="B20">
        <v>16</v>
      </c>
      <c r="C20">
        <v>16</v>
      </c>
      <c r="D20">
        <v>16</v>
      </c>
    </row>
    <row r="21" spans="1:4" x14ac:dyDescent="0.25">
      <c r="A21" t="s">
        <v>61</v>
      </c>
      <c r="B21">
        <v>13</v>
      </c>
      <c r="C21">
        <v>1</v>
      </c>
      <c r="D21">
        <v>4.75</v>
      </c>
    </row>
    <row r="22" spans="1:4" x14ac:dyDescent="0.25">
      <c r="A22" t="s">
        <v>17</v>
      </c>
      <c r="B22">
        <v>12</v>
      </c>
      <c r="C22">
        <v>2</v>
      </c>
      <c r="D22">
        <v>6</v>
      </c>
    </row>
    <row r="23" spans="1:4" x14ac:dyDescent="0.25">
      <c r="A23" t="s">
        <v>62</v>
      </c>
      <c r="B23">
        <v>10</v>
      </c>
      <c r="C23">
        <v>2</v>
      </c>
      <c r="D23">
        <v>4.571428</v>
      </c>
    </row>
    <row r="24" spans="1:4" x14ac:dyDescent="0.25">
      <c r="A24" t="s">
        <v>68</v>
      </c>
      <c r="B24">
        <v>10</v>
      </c>
      <c r="C24">
        <v>1</v>
      </c>
      <c r="D24">
        <v>3.8</v>
      </c>
    </row>
    <row r="25" spans="1:4" x14ac:dyDescent="0.25">
      <c r="A25" t="s">
        <v>11</v>
      </c>
      <c r="B25">
        <v>9</v>
      </c>
      <c r="C25">
        <v>1</v>
      </c>
      <c r="D25">
        <v>2.6</v>
      </c>
    </row>
    <row r="26" spans="1:4" x14ac:dyDescent="0.25">
      <c r="A26" t="s">
        <v>44</v>
      </c>
      <c r="B26">
        <v>9</v>
      </c>
      <c r="C26">
        <v>9</v>
      </c>
      <c r="D26">
        <v>9</v>
      </c>
    </row>
    <row r="27" spans="1:4" x14ac:dyDescent="0.25">
      <c r="A27" t="s">
        <v>5</v>
      </c>
      <c r="B27">
        <v>8</v>
      </c>
      <c r="C27">
        <v>1</v>
      </c>
      <c r="D27">
        <v>3.6666660000000002</v>
      </c>
    </row>
    <row r="28" spans="1:4" x14ac:dyDescent="0.25">
      <c r="A28" t="s">
        <v>14</v>
      </c>
      <c r="B28">
        <v>8</v>
      </c>
      <c r="C28">
        <v>8</v>
      </c>
      <c r="D28">
        <v>8</v>
      </c>
    </row>
    <row r="29" spans="1:4" x14ac:dyDescent="0.25">
      <c r="A29" t="s">
        <v>18</v>
      </c>
      <c r="B29">
        <v>8</v>
      </c>
      <c r="C29">
        <v>2</v>
      </c>
      <c r="D29">
        <v>4</v>
      </c>
    </row>
    <row r="30" spans="1:4" x14ac:dyDescent="0.25">
      <c r="A30" t="s">
        <v>19</v>
      </c>
      <c r="B30">
        <v>8</v>
      </c>
      <c r="C30">
        <v>8</v>
      </c>
      <c r="D30">
        <v>8</v>
      </c>
    </row>
    <row r="31" spans="1:4" x14ac:dyDescent="0.25">
      <c r="A31" t="s">
        <v>43</v>
      </c>
      <c r="B31">
        <v>8</v>
      </c>
      <c r="C31">
        <v>2</v>
      </c>
      <c r="D31">
        <v>4</v>
      </c>
    </row>
    <row r="32" spans="1:4" x14ac:dyDescent="0.25">
      <c r="A32" t="s">
        <v>4</v>
      </c>
      <c r="B32">
        <v>7</v>
      </c>
      <c r="C32">
        <v>5</v>
      </c>
      <c r="D32">
        <v>6</v>
      </c>
    </row>
    <row r="33" spans="1:4" x14ac:dyDescent="0.25">
      <c r="A33" t="s">
        <v>10</v>
      </c>
      <c r="B33">
        <v>7</v>
      </c>
      <c r="C33">
        <v>1</v>
      </c>
      <c r="D33">
        <v>3.6666660000000002</v>
      </c>
    </row>
    <row r="34" spans="1:4" x14ac:dyDescent="0.25">
      <c r="A34" t="s">
        <v>36</v>
      </c>
      <c r="B34">
        <v>7</v>
      </c>
      <c r="C34">
        <v>1</v>
      </c>
      <c r="D34">
        <v>3.4</v>
      </c>
    </row>
    <row r="35" spans="1:4" x14ac:dyDescent="0.25">
      <c r="A35" t="s">
        <v>38</v>
      </c>
      <c r="B35">
        <v>7</v>
      </c>
      <c r="C35">
        <v>2</v>
      </c>
      <c r="D35">
        <v>3.6</v>
      </c>
    </row>
    <row r="36" spans="1:4" x14ac:dyDescent="0.25">
      <c r="A36" t="s">
        <v>50</v>
      </c>
      <c r="B36">
        <v>7</v>
      </c>
      <c r="C36">
        <v>1</v>
      </c>
      <c r="D36">
        <v>3</v>
      </c>
    </row>
    <row r="37" spans="1:4" x14ac:dyDescent="0.25">
      <c r="A37" t="s">
        <v>60</v>
      </c>
      <c r="B37">
        <v>7</v>
      </c>
      <c r="C37">
        <v>7</v>
      </c>
      <c r="D37">
        <v>7</v>
      </c>
    </row>
    <row r="38" spans="1:4" x14ac:dyDescent="0.25">
      <c r="A38" t="s">
        <v>42</v>
      </c>
      <c r="B38">
        <v>6</v>
      </c>
      <c r="C38">
        <v>6</v>
      </c>
      <c r="D38">
        <v>6</v>
      </c>
    </row>
    <row r="39" spans="1:4" x14ac:dyDescent="0.25">
      <c r="A39" t="s">
        <v>66</v>
      </c>
      <c r="B39">
        <v>6</v>
      </c>
      <c r="C39">
        <v>6</v>
      </c>
      <c r="D39">
        <v>6</v>
      </c>
    </row>
    <row r="40" spans="1:4" x14ac:dyDescent="0.25">
      <c r="A40" t="s">
        <v>49</v>
      </c>
      <c r="B40">
        <v>5</v>
      </c>
      <c r="C40">
        <v>5</v>
      </c>
      <c r="D40">
        <v>5</v>
      </c>
    </row>
    <row r="41" spans="1:4" x14ac:dyDescent="0.25">
      <c r="A41" t="s">
        <v>56</v>
      </c>
      <c r="B41">
        <v>5</v>
      </c>
      <c r="C41">
        <v>5</v>
      </c>
      <c r="D41">
        <v>5</v>
      </c>
    </row>
    <row r="42" spans="1:4" x14ac:dyDescent="0.25">
      <c r="A42" t="s">
        <v>70</v>
      </c>
      <c r="B42">
        <v>5</v>
      </c>
      <c r="C42">
        <v>2</v>
      </c>
      <c r="D42">
        <v>3.5</v>
      </c>
    </row>
    <row r="43" spans="1:4" x14ac:dyDescent="0.25">
      <c r="A43" t="s">
        <v>23</v>
      </c>
      <c r="B43">
        <v>4</v>
      </c>
      <c r="C43">
        <v>2</v>
      </c>
      <c r="D43">
        <v>3</v>
      </c>
    </row>
    <row r="44" spans="1:4" x14ac:dyDescent="0.25">
      <c r="A44" t="s">
        <v>39</v>
      </c>
      <c r="B44">
        <v>4</v>
      </c>
      <c r="C44">
        <v>4</v>
      </c>
      <c r="D44">
        <v>4</v>
      </c>
    </row>
    <row r="45" spans="1:4" x14ac:dyDescent="0.25">
      <c r="A45" t="s">
        <v>46</v>
      </c>
      <c r="B45">
        <v>4</v>
      </c>
      <c r="C45">
        <v>2</v>
      </c>
      <c r="D45">
        <v>2.6666660000000002</v>
      </c>
    </row>
    <row r="46" spans="1:4" x14ac:dyDescent="0.25">
      <c r="A46" t="s">
        <v>48</v>
      </c>
      <c r="B46">
        <v>4</v>
      </c>
      <c r="C46">
        <v>1</v>
      </c>
      <c r="D46">
        <v>2.5</v>
      </c>
    </row>
    <row r="47" spans="1:4" x14ac:dyDescent="0.25">
      <c r="A47" t="s">
        <v>54</v>
      </c>
      <c r="B47">
        <v>3</v>
      </c>
      <c r="C47">
        <v>1</v>
      </c>
      <c r="D47">
        <v>2.1111110000000002</v>
      </c>
    </row>
    <row r="48" spans="1:4" x14ac:dyDescent="0.25">
      <c r="A48" t="s">
        <v>65</v>
      </c>
      <c r="B48">
        <v>3</v>
      </c>
      <c r="C48">
        <v>1</v>
      </c>
      <c r="D48">
        <v>2</v>
      </c>
    </row>
    <row r="49" spans="1:4" x14ac:dyDescent="0.25">
      <c r="A49" t="s">
        <v>72</v>
      </c>
      <c r="B49">
        <v>3</v>
      </c>
      <c r="C49">
        <v>1</v>
      </c>
      <c r="D49">
        <v>2</v>
      </c>
    </row>
    <row r="50" spans="1:4" x14ac:dyDescent="0.25">
      <c r="A50" t="s">
        <v>6</v>
      </c>
      <c r="B50">
        <v>2</v>
      </c>
      <c r="C50">
        <v>2</v>
      </c>
      <c r="D50">
        <v>2</v>
      </c>
    </row>
    <row r="51" spans="1:4" x14ac:dyDescent="0.25">
      <c r="A51" t="s">
        <v>12</v>
      </c>
      <c r="B51">
        <v>2</v>
      </c>
      <c r="C51">
        <v>2</v>
      </c>
      <c r="D51">
        <v>2</v>
      </c>
    </row>
    <row r="52" spans="1:4" x14ac:dyDescent="0.25">
      <c r="A52" t="s">
        <v>28</v>
      </c>
      <c r="B52">
        <v>2</v>
      </c>
      <c r="C52">
        <v>2</v>
      </c>
      <c r="D52">
        <v>2</v>
      </c>
    </row>
    <row r="53" spans="1:4" x14ac:dyDescent="0.25">
      <c r="A53" t="s">
        <v>51</v>
      </c>
      <c r="B53">
        <v>2</v>
      </c>
      <c r="C53">
        <v>2</v>
      </c>
      <c r="D53">
        <v>2</v>
      </c>
    </row>
    <row r="54" spans="1:4" x14ac:dyDescent="0.25">
      <c r="A54" t="s">
        <v>55</v>
      </c>
      <c r="B54">
        <v>2</v>
      </c>
      <c r="C54">
        <v>1</v>
      </c>
      <c r="D54">
        <v>1.5</v>
      </c>
    </row>
    <row r="55" spans="1:4" x14ac:dyDescent="0.25">
      <c r="A55" t="s">
        <v>7</v>
      </c>
      <c r="B55">
        <v>1</v>
      </c>
      <c r="C55">
        <v>1</v>
      </c>
      <c r="D55">
        <v>1</v>
      </c>
    </row>
    <row r="56" spans="1:4" x14ac:dyDescent="0.25">
      <c r="A56" t="s">
        <v>45</v>
      </c>
      <c r="B56">
        <v>1</v>
      </c>
      <c r="C56">
        <v>1</v>
      </c>
      <c r="D56">
        <v>1</v>
      </c>
    </row>
  </sheetData>
  <sortState xmlns:xlrd2="http://schemas.microsoft.com/office/spreadsheetml/2017/richdata2" ref="A2:D56">
    <sortCondition descending="1" ref="B2:B5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9c58dc-4bca-4617-921a-4bfddcd97dc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CF67654EC0A644816FD900E5975A48" ma:contentTypeVersion="18" ma:contentTypeDescription="Create a new document." ma:contentTypeScope="" ma:versionID="c74c64c468808ec102eb6b58b6198b55">
  <xsd:schema xmlns:xsd="http://www.w3.org/2001/XMLSchema" xmlns:xs="http://www.w3.org/2001/XMLSchema" xmlns:p="http://schemas.microsoft.com/office/2006/metadata/properties" xmlns:ns3="c99c58dc-4bca-4617-921a-4bfddcd97dca" xmlns:ns4="e410088d-183d-4878-8fba-05a7d0f012e5" targetNamespace="http://schemas.microsoft.com/office/2006/metadata/properties" ma:root="true" ma:fieldsID="706da0fddad4a140e6039a9e133e22e0" ns3:_="" ns4:_="">
    <xsd:import namespace="c99c58dc-4bca-4617-921a-4bfddcd97dca"/>
    <xsd:import namespace="e410088d-183d-4878-8fba-05a7d0f012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c58dc-4bca-4617-921a-4bfddcd97d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0088d-183d-4878-8fba-05a7d0f012e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E12DC0-087E-4052-BC19-7C1A777396B2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e410088d-183d-4878-8fba-05a7d0f012e5"/>
    <ds:schemaRef ds:uri="c99c58dc-4bca-4617-921a-4bfddcd97dca"/>
  </ds:schemaRefs>
</ds:datastoreItem>
</file>

<file path=customXml/itemProps2.xml><?xml version="1.0" encoding="utf-8"?>
<ds:datastoreItem xmlns:ds="http://schemas.openxmlformats.org/officeDocument/2006/customXml" ds:itemID="{37CAB06F-B0DD-4036-936A-577B1BA8DC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9c58dc-4bca-4617-921a-4bfddcd97dca"/>
    <ds:schemaRef ds:uri="e410088d-183d-4878-8fba-05a7d0f012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471E1A-DB6D-4D61-ABF2-104C5A9C3A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Credentials-hr</vt:lpstr>
      <vt:lpstr>Alarms-hr</vt:lpstr>
      <vt:lpstr>Credential-day</vt:lpstr>
      <vt:lpstr>Alarm-day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Fierro</dc:creator>
  <cp:lastModifiedBy>Cristhian Fierro</cp:lastModifiedBy>
  <dcterms:created xsi:type="dcterms:W3CDTF">2026-05-20T14:04:50Z</dcterms:created>
  <dcterms:modified xsi:type="dcterms:W3CDTF">2026-06-16T19:23:24Z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0x01010070CF67654EC0A644816FD900E5975A48</vt:lpwstr>
  </property>
</Properties>
</file>