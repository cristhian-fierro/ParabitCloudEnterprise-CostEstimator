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fileSharing readOnlyRecommended="1"/>
  <workbookPr codeName="ThisWorkbook"/>
  <mc:AlternateContent xmlns:mc="http://schemas.openxmlformats.org/markup-compatibility/2006">
    <mc:Choice Requires="x15">
      <x15ac:absPath xmlns:x15ac="http://schemas.microsoft.com/office/spreadsheetml/2010/11/ac" url="R:\SalesInfo\Pricing Lists and Modules\ACS SaaS\"/>
    </mc:Choice>
  </mc:AlternateContent>
  <xr:revisionPtr revIDLastSave="0" documentId="13_ncr:1_{2E7472BF-CC05-42C6-9262-4AE6A832EF5C}" xr6:coauthVersionLast="47" xr6:coauthVersionMax="47" xr10:uidLastSave="{00000000-0000-0000-0000-000000000000}"/>
  <bookViews>
    <workbookView xWindow="-120" yWindow="-120" windowWidth="29040" windowHeight="15720" tabRatio="883" activeTab="6" xr2:uid="{00000000-000D-0000-FFFF-FFFF00000000}"/>
  </bookViews>
  <sheets>
    <sheet name="Proposal Form Tier 1" sheetId="22" r:id="rId1"/>
    <sheet name="Detail_Proposal_tier 1" sheetId="23" r:id="rId2"/>
    <sheet name="Proposal Summary - Tier 1" sheetId="24" r:id="rId3"/>
    <sheet name="Proposal Form Tier 2-12" sheetId="17" r:id="rId4"/>
    <sheet name="Detail_Proposal_tier 2-12" sheetId="10" r:id="rId5"/>
    <sheet name="Proposal Summary - Tier 2-12" sheetId="15" r:id="rId6"/>
    <sheet name="Tiers_list" sheetId="8" r:id="rId7"/>
    <sheet name="End_user" sheetId="21" r:id="rId8"/>
    <sheet name="Integrator List" sheetId="19" r:id="rId9"/>
    <sheet name="Category_list" sheetId="16" r:id="rId10"/>
    <sheet name="Fishbowl Proposal Part list" sheetId="20" r:id="rId11"/>
  </sheets>
  <definedNames>
    <definedName name="_xlnm._FilterDatabase" localSheetId="9" hidden="1">Category_list!$A$1:$A$8</definedName>
    <definedName name="_xlnm._FilterDatabase" localSheetId="1" hidden="1">'Detail_Proposal_tier 1'!$A$1:$O$66</definedName>
    <definedName name="_xlnm._FilterDatabase" localSheetId="4" hidden="1">'Detail_Proposal_tier 2-12'!$A$1:$O$56</definedName>
    <definedName name="_xlnm._FilterDatabase" localSheetId="7" hidden="1">End_user!$A$1:$C$152</definedName>
    <definedName name="_xlnm._FilterDatabase" localSheetId="10" hidden="1">'Fishbowl Proposal Part list'!$A$1:$F$37</definedName>
    <definedName name="_xlnm._FilterDatabase" localSheetId="8" hidden="1">'Integrator List'!$A$1:$B$247</definedName>
    <definedName name="_xlnm.Print_Area" localSheetId="1">'Detail_Proposal_tier 1'!$A:$P</definedName>
    <definedName name="_xlnm.Print_Area" localSheetId="4">'Detail_Proposal_tier 2-12'!$A$1:$P$94</definedName>
    <definedName name="_xlnm.Print_Area" localSheetId="10">'Fishbowl Proposal Part list'!$A$1:$G$37</definedName>
    <definedName name="_xlnm.Print_Area" localSheetId="2">'Proposal Summary - Tier 1'!$A$1:$G$37</definedName>
    <definedName name="_xlnm.Print_Area" localSheetId="5">'Proposal Summary - Tier 2-12'!$A$1:$G$37</definedName>
    <definedName name="_xlnm.Print_Titles" localSheetId="1">'Detail_Proposal_tier 1'!$1:$1</definedName>
    <definedName name="_xlnm.Print_Titles" localSheetId="4">'Detail_Proposal_tier 2-12'!$1:$1</definedName>
    <definedName name="_xlnm.Print_Titles" localSheetId="10">'Fishbowl Proposal Part list'!$1:$1</definedName>
    <definedName name="_xlnm.Print_Titles" localSheetId="5">'Proposal Summary - Tier 2-12'!$6:$6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5" i="10" l="1"/>
  <c r="O55" i="10" s="1"/>
  <c r="I54" i="10"/>
  <c r="N54" i="10" s="1"/>
  <c r="I53" i="10"/>
  <c r="O53" i="10" s="1"/>
  <c r="I52" i="10"/>
  <c r="I51" i="10"/>
  <c r="N51" i="10" s="1"/>
  <c r="I50" i="10"/>
  <c r="I49" i="10"/>
  <c r="I48" i="10"/>
  <c r="I47" i="10"/>
  <c r="O47" i="10" s="1"/>
  <c r="O48" i="10"/>
  <c r="A61" i="17"/>
  <c r="A60" i="17"/>
  <c r="A59" i="17"/>
  <c r="A58" i="17"/>
  <c r="A57" i="17"/>
  <c r="A56" i="17"/>
  <c r="A55" i="17"/>
  <c r="A54" i="17"/>
  <c r="A53" i="17"/>
  <c r="I55" i="23"/>
  <c r="N55" i="23" s="1"/>
  <c r="I54" i="23"/>
  <c r="J54" i="23" s="1"/>
  <c r="K54" i="23" s="1"/>
  <c r="P54" i="23" s="1"/>
  <c r="I53" i="23"/>
  <c r="J53" i="23" s="1"/>
  <c r="I52" i="23"/>
  <c r="I51" i="23"/>
  <c r="N51" i="23" s="1"/>
  <c r="I50" i="23"/>
  <c r="M50" i="23" s="1"/>
  <c r="I49" i="23"/>
  <c r="J49" i="23" s="1"/>
  <c r="I48" i="23"/>
  <c r="I47" i="23"/>
  <c r="J47" i="23" s="1"/>
  <c r="I86" i="10"/>
  <c r="I85" i="10"/>
  <c r="I84" i="10"/>
  <c r="I77" i="10"/>
  <c r="I76" i="10"/>
  <c r="I75" i="10"/>
  <c r="J46" i="10"/>
  <c r="J52" i="23"/>
  <c r="J51" i="23"/>
  <c r="J48" i="23"/>
  <c r="J46" i="23"/>
  <c r="J20" i="23"/>
  <c r="J18" i="23"/>
  <c r="J17" i="23"/>
  <c r="J2" i="23"/>
  <c r="BC13" i="8"/>
  <c r="BB13" i="8"/>
  <c r="BA13" i="8"/>
  <c r="AZ13" i="8"/>
  <c r="AY13" i="8"/>
  <c r="AX13" i="8"/>
  <c r="AW13" i="8"/>
  <c r="AV13" i="8"/>
  <c r="AU13" i="8"/>
  <c r="BC12" i="8"/>
  <c r="BB12" i="8"/>
  <c r="BA12" i="8"/>
  <c r="AZ12" i="8"/>
  <c r="AY12" i="8"/>
  <c r="AX12" i="8"/>
  <c r="AW12" i="8"/>
  <c r="AV12" i="8"/>
  <c r="AU12" i="8"/>
  <c r="BC11" i="8"/>
  <c r="BB11" i="8"/>
  <c r="BA11" i="8"/>
  <c r="AZ11" i="8"/>
  <c r="AY11" i="8"/>
  <c r="AX11" i="8"/>
  <c r="AW11" i="8"/>
  <c r="AV11" i="8"/>
  <c r="AU11" i="8"/>
  <c r="BC10" i="8"/>
  <c r="BB10" i="8"/>
  <c r="BA10" i="8"/>
  <c r="AZ10" i="8"/>
  <c r="AY10" i="8"/>
  <c r="AX10" i="8"/>
  <c r="AW10" i="8"/>
  <c r="AV10" i="8"/>
  <c r="AU10" i="8"/>
  <c r="BC9" i="8"/>
  <c r="BB9" i="8"/>
  <c r="BA9" i="8"/>
  <c r="AZ9" i="8"/>
  <c r="AY9" i="8"/>
  <c r="AX9" i="8"/>
  <c r="AW9" i="8"/>
  <c r="AV9" i="8"/>
  <c r="AU9" i="8"/>
  <c r="BC8" i="8"/>
  <c r="BB8" i="8"/>
  <c r="BA8" i="8"/>
  <c r="AZ8" i="8"/>
  <c r="AY8" i="8"/>
  <c r="AX8" i="8"/>
  <c r="AW8" i="8"/>
  <c r="AV8" i="8"/>
  <c r="AU8" i="8"/>
  <c r="BC7" i="8"/>
  <c r="BB7" i="8"/>
  <c r="BA7" i="8"/>
  <c r="AZ7" i="8"/>
  <c r="AY7" i="8"/>
  <c r="AX7" i="8"/>
  <c r="AW7" i="8"/>
  <c r="AV7" i="8"/>
  <c r="AU7" i="8"/>
  <c r="BC6" i="8"/>
  <c r="BB6" i="8"/>
  <c r="BA6" i="8"/>
  <c r="AZ6" i="8"/>
  <c r="AY6" i="8"/>
  <c r="AX6" i="8"/>
  <c r="AW6" i="8"/>
  <c r="AV6" i="8"/>
  <c r="AU6" i="8"/>
  <c r="BC5" i="8"/>
  <c r="BB5" i="8"/>
  <c r="BA5" i="8"/>
  <c r="AZ5" i="8"/>
  <c r="AY5" i="8"/>
  <c r="AX5" i="8"/>
  <c r="AW5" i="8"/>
  <c r="AV5" i="8"/>
  <c r="AU5" i="8"/>
  <c r="BC4" i="8"/>
  <c r="BB4" i="8"/>
  <c r="BA4" i="8"/>
  <c r="AZ4" i="8"/>
  <c r="AY4" i="8"/>
  <c r="AX4" i="8"/>
  <c r="AW4" i="8"/>
  <c r="AV4" i="8"/>
  <c r="AU4" i="8"/>
  <c r="BC3" i="8"/>
  <c r="BB3" i="8"/>
  <c r="BA3" i="8"/>
  <c r="AZ3" i="8"/>
  <c r="AY3" i="8"/>
  <c r="AX3" i="8"/>
  <c r="AW3" i="8"/>
  <c r="AV3" i="8"/>
  <c r="AU3" i="8"/>
  <c r="A61" i="22"/>
  <c r="A60" i="22"/>
  <c r="A59" i="22"/>
  <c r="A58" i="22"/>
  <c r="A57" i="22"/>
  <c r="A56" i="22"/>
  <c r="A55" i="22"/>
  <c r="A54" i="22"/>
  <c r="A53" i="22"/>
  <c r="F55" i="10"/>
  <c r="E55" i="10"/>
  <c r="D55" i="10"/>
  <c r="C55" i="10"/>
  <c r="B55" i="10"/>
  <c r="A55" i="10"/>
  <c r="F54" i="10"/>
  <c r="E54" i="10"/>
  <c r="D54" i="10"/>
  <c r="C54" i="10"/>
  <c r="B54" i="10"/>
  <c r="A54" i="10"/>
  <c r="G53" i="10"/>
  <c r="F53" i="10"/>
  <c r="E53" i="10"/>
  <c r="D53" i="10"/>
  <c r="C53" i="10"/>
  <c r="B53" i="10"/>
  <c r="A53" i="10"/>
  <c r="G52" i="10"/>
  <c r="F52" i="10"/>
  <c r="E52" i="10"/>
  <c r="D52" i="10"/>
  <c r="C52" i="10"/>
  <c r="B52" i="10"/>
  <c r="A52" i="10"/>
  <c r="G51" i="10"/>
  <c r="F51" i="10"/>
  <c r="E51" i="10"/>
  <c r="D51" i="10"/>
  <c r="C51" i="10"/>
  <c r="B51" i="10"/>
  <c r="A51" i="10"/>
  <c r="G50" i="10"/>
  <c r="F50" i="10"/>
  <c r="E50" i="10"/>
  <c r="D50" i="10"/>
  <c r="C50" i="10"/>
  <c r="B50" i="10"/>
  <c r="A50" i="10"/>
  <c r="G49" i="10"/>
  <c r="F49" i="10"/>
  <c r="E49" i="10"/>
  <c r="D49" i="10"/>
  <c r="C49" i="10"/>
  <c r="B49" i="10"/>
  <c r="A49" i="10"/>
  <c r="G48" i="10"/>
  <c r="F48" i="10"/>
  <c r="E48" i="10"/>
  <c r="D48" i="10"/>
  <c r="C48" i="10"/>
  <c r="B48" i="10"/>
  <c r="A48" i="10"/>
  <c r="G47" i="10"/>
  <c r="F47" i="10"/>
  <c r="E47" i="10"/>
  <c r="D47" i="10"/>
  <c r="C47" i="10"/>
  <c r="B47" i="10"/>
  <c r="A47" i="10"/>
  <c r="N55" i="10"/>
  <c r="M55" i="10"/>
  <c r="O52" i="10"/>
  <c r="N52" i="10"/>
  <c r="M52" i="10"/>
  <c r="O50" i="10"/>
  <c r="N50" i="10"/>
  <c r="M50" i="10"/>
  <c r="O49" i="10"/>
  <c r="N49" i="10"/>
  <c r="M49" i="10"/>
  <c r="O46" i="10"/>
  <c r="N46" i="10"/>
  <c r="M46" i="10"/>
  <c r="F46" i="10"/>
  <c r="E46" i="10"/>
  <c r="D46" i="10"/>
  <c r="F45" i="10"/>
  <c r="E45" i="10"/>
  <c r="F44" i="10"/>
  <c r="E44" i="10"/>
  <c r="F42" i="10"/>
  <c r="E42" i="10"/>
  <c r="F41" i="10"/>
  <c r="E41" i="10"/>
  <c r="F40" i="10"/>
  <c r="E40" i="10"/>
  <c r="F39" i="10"/>
  <c r="E39" i="10"/>
  <c r="F38" i="10"/>
  <c r="E38" i="10"/>
  <c r="F37" i="10"/>
  <c r="E37" i="10"/>
  <c r="F36" i="10"/>
  <c r="E36" i="10"/>
  <c r="F35" i="10"/>
  <c r="E35" i="10"/>
  <c r="F33" i="10"/>
  <c r="E33" i="10"/>
  <c r="F32" i="10"/>
  <c r="E32" i="10"/>
  <c r="F31" i="10"/>
  <c r="E31" i="10"/>
  <c r="F30" i="10"/>
  <c r="E30" i="10"/>
  <c r="F28" i="10"/>
  <c r="E28" i="10"/>
  <c r="F27" i="10"/>
  <c r="E27" i="10"/>
  <c r="F26" i="10"/>
  <c r="E26" i="10"/>
  <c r="F25" i="10"/>
  <c r="E25" i="10"/>
  <c r="F24" i="10"/>
  <c r="E24" i="10"/>
  <c r="F23" i="10"/>
  <c r="E23" i="10"/>
  <c r="F22" i="10"/>
  <c r="E22" i="10"/>
  <c r="F21" i="10"/>
  <c r="E21" i="10"/>
  <c r="F20" i="10"/>
  <c r="E20" i="10"/>
  <c r="F18" i="10"/>
  <c r="E18" i="10"/>
  <c r="F17" i="10"/>
  <c r="E17" i="10"/>
  <c r="F16" i="10"/>
  <c r="E16" i="10"/>
  <c r="F15" i="10"/>
  <c r="E15" i="10"/>
  <c r="F14" i="10"/>
  <c r="E14" i="10"/>
  <c r="F13" i="10"/>
  <c r="E13" i="10"/>
  <c r="F12" i="10"/>
  <c r="E12" i="10"/>
  <c r="F11" i="10"/>
  <c r="E11" i="10"/>
  <c r="F10" i="10"/>
  <c r="E10" i="10"/>
  <c r="F9" i="10"/>
  <c r="E9" i="10"/>
  <c r="F8" i="10"/>
  <c r="E8" i="10"/>
  <c r="F7" i="10"/>
  <c r="E7" i="10"/>
  <c r="F6" i="10"/>
  <c r="E6" i="10"/>
  <c r="F5" i="10"/>
  <c r="E5" i="10"/>
  <c r="F4" i="10"/>
  <c r="E4" i="10"/>
  <c r="F3" i="10"/>
  <c r="E3" i="10"/>
  <c r="F2" i="10"/>
  <c r="E2" i="10"/>
  <c r="F1" i="10"/>
  <c r="E1" i="10"/>
  <c r="O54" i="23"/>
  <c r="N54" i="23"/>
  <c r="M54" i="23"/>
  <c r="L54" i="23" s="1"/>
  <c r="O53" i="23"/>
  <c r="N53" i="23"/>
  <c r="L53" i="23" s="1"/>
  <c r="M53" i="23"/>
  <c r="O51" i="23"/>
  <c r="M49" i="23"/>
  <c r="O48" i="23"/>
  <c r="N48" i="23"/>
  <c r="M48" i="23"/>
  <c r="O52" i="23"/>
  <c r="N52" i="23"/>
  <c r="M52" i="23"/>
  <c r="O46" i="23"/>
  <c r="N46" i="23"/>
  <c r="M46" i="23"/>
  <c r="D46" i="23"/>
  <c r="G6" i="24"/>
  <c r="F6" i="24"/>
  <c r="G5" i="24"/>
  <c r="F5" i="24"/>
  <c r="A17" i="24"/>
  <c r="A32" i="24"/>
  <c r="A31" i="24"/>
  <c r="A30" i="24"/>
  <c r="A29" i="24"/>
  <c r="A28" i="24"/>
  <c r="A27" i="24"/>
  <c r="A26" i="24"/>
  <c r="A25" i="24"/>
  <c r="A24" i="24"/>
  <c r="A23" i="24"/>
  <c r="A22" i="24"/>
  <c r="A21" i="24"/>
  <c r="A20" i="24"/>
  <c r="A19" i="24"/>
  <c r="A18" i="24"/>
  <c r="A16" i="24"/>
  <c r="A15" i="24"/>
  <c r="A14" i="24"/>
  <c r="A13" i="24"/>
  <c r="A12" i="24"/>
  <c r="A11" i="24"/>
  <c r="A10" i="24"/>
  <c r="A9" i="24"/>
  <c r="A8" i="24"/>
  <c r="A7" i="24"/>
  <c r="F5" i="15"/>
  <c r="G5" i="15"/>
  <c r="A1" i="24"/>
  <c r="N53" i="10" l="1"/>
  <c r="L53" i="10" s="1"/>
  <c r="K53" i="10" s="1"/>
  <c r="M51" i="10"/>
  <c r="L51" i="10" s="1"/>
  <c r="K51" i="10" s="1"/>
  <c r="M54" i="10"/>
  <c r="O51" i="10"/>
  <c r="M47" i="10"/>
  <c r="N47" i="10"/>
  <c r="M53" i="10"/>
  <c r="O54" i="10"/>
  <c r="L54" i="10" s="1"/>
  <c r="K54" i="10" s="1"/>
  <c r="M48" i="10"/>
  <c r="N48" i="10"/>
  <c r="L50" i="10"/>
  <c r="L47" i="10"/>
  <c r="K47" i="10" s="1"/>
  <c r="K50" i="10"/>
  <c r="L48" i="10"/>
  <c r="K48" i="10" s="1"/>
  <c r="J53" i="10"/>
  <c r="L49" i="10"/>
  <c r="K49" i="10" s="1"/>
  <c r="O50" i="23"/>
  <c r="J50" i="23"/>
  <c r="K50" i="23" s="1"/>
  <c r="O55" i="23"/>
  <c r="N50" i="23"/>
  <c r="L50" i="23" s="1"/>
  <c r="M51" i="23"/>
  <c r="J55" i="23"/>
  <c r="K55" i="23" s="1"/>
  <c r="P55" i="23" s="1"/>
  <c r="N49" i="23"/>
  <c r="O49" i="23"/>
  <c r="M55" i="23"/>
  <c r="O47" i="23"/>
  <c r="N47" i="23"/>
  <c r="M47" i="23"/>
  <c r="J47" i="10"/>
  <c r="J48" i="10"/>
  <c r="J49" i="10"/>
  <c r="J50" i="10"/>
  <c r="L46" i="23"/>
  <c r="J51" i="10"/>
  <c r="J52" i="10"/>
  <c r="J54" i="10"/>
  <c r="J55" i="10"/>
  <c r="L55" i="10"/>
  <c r="K55" i="10" s="1"/>
  <c r="L52" i="10"/>
  <c r="L46" i="10"/>
  <c r="L51" i="23"/>
  <c r="K53" i="23"/>
  <c r="P53" i="23" s="1"/>
  <c r="L49" i="23"/>
  <c r="L48" i="23"/>
  <c r="K51" i="23"/>
  <c r="P51" i="23" s="1"/>
  <c r="K49" i="23"/>
  <c r="P49" i="23" s="1"/>
  <c r="L47" i="23"/>
  <c r="L52" i="23"/>
  <c r="K48" i="23"/>
  <c r="P48" i="23" s="1"/>
  <c r="K52" i="23"/>
  <c r="P52" i="23" s="1"/>
  <c r="K47" i="23"/>
  <c r="P47" i="23" s="1"/>
  <c r="K46" i="23"/>
  <c r="P46" i="23" s="1"/>
  <c r="I64" i="10"/>
  <c r="J64" i="10" s="1"/>
  <c r="D64" i="10"/>
  <c r="I62" i="23"/>
  <c r="G14" i="15"/>
  <c r="G24" i="15" s="1"/>
  <c r="F14" i="15"/>
  <c r="F24" i="15" s="1"/>
  <c r="G14" i="24"/>
  <c r="G24" i="24" s="1"/>
  <c r="F14" i="24"/>
  <c r="F24" i="24" s="1"/>
  <c r="B36" i="22"/>
  <c r="B36" i="17"/>
  <c r="B5" i="17"/>
  <c r="P50" i="10" l="1"/>
  <c r="P48" i="10"/>
  <c r="P49" i="10"/>
  <c r="K46" i="10"/>
  <c r="P46" i="10" s="1"/>
  <c r="P47" i="10"/>
  <c r="P54" i="10"/>
  <c r="K52" i="10"/>
  <c r="P52" i="10" s="1"/>
  <c r="P53" i="10"/>
  <c r="P50" i="23"/>
  <c r="L55" i="23"/>
  <c r="P55" i="10"/>
  <c r="P51" i="10"/>
  <c r="B38" i="22"/>
  <c r="B38" i="17"/>
  <c r="A30" i="17"/>
  <c r="B37" i="22" l="1"/>
  <c r="B37" i="17"/>
  <c r="D68" i="10"/>
  <c r="D67" i="10"/>
  <c r="A52" i="17" l="1"/>
  <c r="A51" i="17"/>
  <c r="A49" i="17"/>
  <c r="A48" i="17"/>
  <c r="A47" i="17"/>
  <c r="A46" i="17"/>
  <c r="A45" i="17"/>
  <c r="A44" i="17"/>
  <c r="A43" i="17"/>
  <c r="A42" i="17"/>
  <c r="A41" i="17"/>
  <c r="A34" i="17"/>
  <c r="A33" i="17"/>
  <c r="C32" i="17"/>
  <c r="C40" i="17" s="1"/>
  <c r="B26" i="17"/>
  <c r="B33" i="17" s="1"/>
  <c r="A26" i="17"/>
  <c r="A24" i="17"/>
  <c r="A23" i="17"/>
  <c r="A22" i="17"/>
  <c r="A21" i="17"/>
  <c r="A20" i="17"/>
  <c r="B16" i="17"/>
  <c r="B14" i="17"/>
  <c r="B11" i="17"/>
  <c r="P64" i="10" l="1"/>
  <c r="D77" i="10"/>
  <c r="D76" i="10"/>
  <c r="AT21" i="8"/>
  <c r="AS21" i="8"/>
  <c r="AR21" i="8"/>
  <c r="AT20" i="8"/>
  <c r="AS20" i="8"/>
  <c r="AR20" i="8"/>
  <c r="C32" i="22"/>
  <c r="C40" i="22" s="1"/>
  <c r="D66" i="10"/>
  <c r="D65" i="10"/>
  <c r="D42" i="10"/>
  <c r="D41" i="10"/>
  <c r="D40" i="10"/>
  <c r="D39" i="10"/>
  <c r="D38" i="10"/>
  <c r="D37" i="10"/>
  <c r="D36" i="10"/>
  <c r="D35" i="10"/>
  <c r="D45" i="10"/>
  <c r="D44" i="10"/>
  <c r="D5" i="17" l="1"/>
  <c r="A52" i="22" l="1"/>
  <c r="A51" i="22"/>
  <c r="A49" i="22"/>
  <c r="A48" i="22"/>
  <c r="A47" i="22"/>
  <c r="A46" i="22"/>
  <c r="A45" i="22"/>
  <c r="A44" i="22"/>
  <c r="A43" i="22"/>
  <c r="A42" i="22"/>
  <c r="A41" i="22"/>
  <c r="A34" i="22"/>
  <c r="A33" i="22"/>
  <c r="A30" i="22"/>
  <c r="A26" i="22"/>
  <c r="A24" i="22"/>
  <c r="A23" i="22"/>
  <c r="A22" i="22"/>
  <c r="A21" i="22"/>
  <c r="A20" i="22"/>
  <c r="D76" i="23"/>
  <c r="D75" i="23"/>
  <c r="D45" i="23"/>
  <c r="D44" i="23"/>
  <c r="D42" i="23"/>
  <c r="D41" i="23"/>
  <c r="D40" i="23"/>
  <c r="D39" i="23"/>
  <c r="D38" i="23"/>
  <c r="D37" i="23"/>
  <c r="D36" i="23"/>
  <c r="D35" i="23"/>
  <c r="D33" i="23"/>
  <c r="D32" i="23"/>
  <c r="D31" i="23"/>
  <c r="D30" i="23"/>
  <c r="D28" i="23"/>
  <c r="D27" i="23"/>
  <c r="D26" i="23"/>
  <c r="D25" i="23"/>
  <c r="D24" i="23"/>
  <c r="D23" i="23"/>
  <c r="D22" i="23"/>
  <c r="D21" i="23"/>
  <c r="D20" i="23"/>
  <c r="D18" i="23"/>
  <c r="D17" i="23"/>
  <c r="D16" i="23"/>
  <c r="D2" i="23"/>
  <c r="AQ21" i="8"/>
  <c r="AP21" i="8"/>
  <c r="AM21" i="8"/>
  <c r="AL21" i="8"/>
  <c r="AK21" i="8"/>
  <c r="AJ21" i="8"/>
  <c r="AI21" i="8"/>
  <c r="AH21" i="8"/>
  <c r="AG21" i="8"/>
  <c r="AF21" i="8"/>
  <c r="AE21" i="8"/>
  <c r="AD21" i="8"/>
  <c r="AC21" i="8"/>
  <c r="AB21" i="8"/>
  <c r="AA21" i="8"/>
  <c r="Z21" i="8"/>
  <c r="Y21" i="8"/>
  <c r="X21" i="8"/>
  <c r="W21" i="8"/>
  <c r="V21" i="8"/>
  <c r="U21" i="8"/>
  <c r="T21" i="8"/>
  <c r="S21" i="8"/>
  <c r="R21" i="8"/>
  <c r="Q21" i="8"/>
  <c r="P21" i="8"/>
  <c r="O21" i="8"/>
  <c r="N21" i="8"/>
  <c r="M21" i="8"/>
  <c r="L21" i="8"/>
  <c r="K21" i="8"/>
  <c r="J21" i="8"/>
  <c r="I21" i="8"/>
  <c r="H21" i="8"/>
  <c r="AQ20" i="8"/>
  <c r="AP20" i="8"/>
  <c r="AM20" i="8"/>
  <c r="AL20" i="8"/>
  <c r="AK20" i="8"/>
  <c r="AJ20" i="8"/>
  <c r="AI20" i="8"/>
  <c r="AH20" i="8"/>
  <c r="AG20" i="8"/>
  <c r="AF20" i="8"/>
  <c r="AE20" i="8"/>
  <c r="AD20" i="8"/>
  <c r="AC20" i="8"/>
  <c r="AB20" i="8"/>
  <c r="AA20" i="8"/>
  <c r="Z20" i="8"/>
  <c r="Y20" i="8"/>
  <c r="X20" i="8"/>
  <c r="W20" i="8"/>
  <c r="V20" i="8"/>
  <c r="U20" i="8"/>
  <c r="T20" i="8"/>
  <c r="S20" i="8"/>
  <c r="R20" i="8"/>
  <c r="Q20" i="8"/>
  <c r="P20" i="8"/>
  <c r="O20" i="8"/>
  <c r="N20" i="8"/>
  <c r="M20" i="8"/>
  <c r="L20" i="8"/>
  <c r="K20" i="8"/>
  <c r="J20" i="8"/>
  <c r="I20" i="8"/>
  <c r="H20" i="8"/>
  <c r="G21" i="8"/>
  <c r="G20" i="8"/>
  <c r="B26" i="22"/>
  <c r="B33" i="22" s="1"/>
  <c r="B5" i="22"/>
  <c r="I75" i="23" l="1"/>
  <c r="I76" i="23"/>
  <c r="E5" i="22"/>
  <c r="J63" i="23"/>
  <c r="E5" i="17" l="1"/>
  <c r="AM4" i="8" l="1"/>
  <c r="AM5" i="8" s="1"/>
  <c r="AM6" i="8" s="1"/>
  <c r="AM7" i="8" s="1"/>
  <c r="AM8" i="8" s="1"/>
  <c r="AM9" i="8" s="1"/>
  <c r="AM10" i="8" s="1"/>
  <c r="AM11" i="8" s="1"/>
  <c r="AM12" i="8" s="1"/>
  <c r="AM13" i="8" s="1"/>
  <c r="AM14" i="8" s="1"/>
  <c r="O74" i="10"/>
  <c r="A94" i="10" a="1"/>
  <c r="A94" i="10" s="1"/>
  <c r="AN21" i="8" s="1"/>
  <c r="I17" i="23"/>
  <c r="A37" i="24" a="1"/>
  <c r="A37" i="24" s="1"/>
  <c r="I44" i="23"/>
  <c r="J44" i="23" s="1"/>
  <c r="I42" i="23"/>
  <c r="J42" i="23" s="1"/>
  <c r="I41" i="23"/>
  <c r="J41" i="23" s="1"/>
  <c r="I40" i="23"/>
  <c r="J40" i="23" s="1"/>
  <c r="I39" i="23"/>
  <c r="J39" i="23" s="1"/>
  <c r="I32" i="23"/>
  <c r="J32" i="23" s="1"/>
  <c r="I31" i="23"/>
  <c r="J31" i="23" s="1"/>
  <c r="I30" i="23"/>
  <c r="J30" i="23" s="1"/>
  <c r="I26" i="23"/>
  <c r="J26" i="23" s="1"/>
  <c r="I25" i="23"/>
  <c r="J25" i="23" s="1"/>
  <c r="I20" i="23"/>
  <c r="I18" i="23"/>
  <c r="A87" i="23" a="1"/>
  <c r="A87" i="23" s="1"/>
  <c r="AN20" i="8" s="1"/>
  <c r="B16" i="22"/>
  <c r="B14" i="22"/>
  <c r="J62" i="23" s="1"/>
  <c r="B11" i="22"/>
  <c r="P62" i="23" l="1"/>
  <c r="P63" i="23"/>
  <c r="N18" i="23"/>
  <c r="O18" i="23"/>
  <c r="M18" i="23"/>
  <c r="O20" i="23"/>
  <c r="N20" i="23"/>
  <c r="M20" i="23"/>
  <c r="M25" i="23"/>
  <c r="O25" i="23"/>
  <c r="N25" i="23"/>
  <c r="O17" i="23"/>
  <c r="M17" i="23"/>
  <c r="N17" i="23"/>
  <c r="N26" i="23"/>
  <c r="O26" i="23"/>
  <c r="M26" i="23"/>
  <c r="O30" i="23"/>
  <c r="N30" i="23"/>
  <c r="M30" i="23"/>
  <c r="M31" i="23"/>
  <c r="O31" i="23"/>
  <c r="N31" i="23"/>
  <c r="N32" i="23"/>
  <c r="O32" i="23"/>
  <c r="M32" i="23"/>
  <c r="O39" i="23"/>
  <c r="N39" i="23"/>
  <c r="M39" i="23"/>
  <c r="N40" i="23"/>
  <c r="O40" i="23"/>
  <c r="M40" i="23"/>
  <c r="O41" i="23"/>
  <c r="M41" i="23"/>
  <c r="N41" i="23"/>
  <c r="M42" i="23"/>
  <c r="O42" i="23"/>
  <c r="N42" i="23"/>
  <c r="M44" i="23"/>
  <c r="O44" i="23"/>
  <c r="N44" i="23"/>
  <c r="J76" i="23"/>
  <c r="B22" i="24"/>
  <c r="B30" i="24"/>
  <c r="L24" i="23"/>
  <c r="L21" i="23"/>
  <c r="L16" i="23"/>
  <c r="L23" i="23"/>
  <c r="J74" i="23"/>
  <c r="J75" i="23"/>
  <c r="J80" i="23"/>
  <c r="J81" i="23"/>
  <c r="J82" i="23"/>
  <c r="AL4" i="8"/>
  <c r="AL5" i="8" s="1"/>
  <c r="AL6" i="8" s="1"/>
  <c r="AL7" i="8" s="1"/>
  <c r="AL8" i="8" s="1"/>
  <c r="AL9" i="8" s="1"/>
  <c r="AL10" i="8" s="1"/>
  <c r="AL11" i="8" s="1"/>
  <c r="AL12" i="8" s="1"/>
  <c r="AL13" i="8" s="1"/>
  <c r="AL14" i="8" s="1"/>
  <c r="G4" i="8"/>
  <c r="J13" i="8"/>
  <c r="J12" i="8"/>
  <c r="J11" i="8"/>
  <c r="J10" i="8"/>
  <c r="J9" i="8"/>
  <c r="J8" i="8"/>
  <c r="J7" i="8"/>
  <c r="J6" i="8"/>
  <c r="J5" i="8"/>
  <c r="J4" i="8"/>
  <c r="J3" i="8"/>
  <c r="G37" i="20"/>
  <c r="G36" i="20"/>
  <c r="G35" i="20"/>
  <c r="E37" i="20"/>
  <c r="E36" i="20"/>
  <c r="E35" i="20"/>
  <c r="C37" i="20"/>
  <c r="C36" i="20"/>
  <c r="C35" i="20"/>
  <c r="C34" i="20"/>
  <c r="B34" i="20" s="1"/>
  <c r="C33" i="20"/>
  <c r="B33" i="20" s="1"/>
  <c r="C32" i="20"/>
  <c r="B32" i="20" s="1"/>
  <c r="C31" i="20"/>
  <c r="B31" i="20" s="1"/>
  <c r="C30" i="20"/>
  <c r="B30" i="20" s="1"/>
  <c r="AG13" i="8"/>
  <c r="AG12" i="8"/>
  <c r="AG11" i="8"/>
  <c r="AG10" i="8"/>
  <c r="AG9" i="8"/>
  <c r="AG8" i="8"/>
  <c r="AG7" i="8"/>
  <c r="AG6" i="8"/>
  <c r="AG5" i="8"/>
  <c r="AG4" i="8"/>
  <c r="AG3" i="8"/>
  <c r="I41" i="10"/>
  <c r="J41" i="10" s="1"/>
  <c r="C29" i="20"/>
  <c r="B29" i="20" s="1"/>
  <c r="E28" i="20"/>
  <c r="C28" i="20"/>
  <c r="B28" i="20" s="1"/>
  <c r="C27" i="20"/>
  <c r="B27" i="20" s="1"/>
  <c r="C26" i="20"/>
  <c r="B26" i="20" s="1"/>
  <c r="C25" i="20"/>
  <c r="B25" i="20" s="1"/>
  <c r="C24" i="20"/>
  <c r="B24" i="20" s="1"/>
  <c r="C23" i="20"/>
  <c r="B23" i="20" s="1"/>
  <c r="C22" i="20"/>
  <c r="B22" i="20" s="1"/>
  <c r="C21" i="20"/>
  <c r="B21" i="20" s="1"/>
  <c r="C20" i="20"/>
  <c r="B20" i="20" s="1"/>
  <c r="C19" i="20"/>
  <c r="B19" i="20" s="1"/>
  <c r="C18" i="20"/>
  <c r="B18" i="20" s="1"/>
  <c r="C17" i="20"/>
  <c r="B17" i="20" s="1"/>
  <c r="C16" i="20"/>
  <c r="B16" i="20" s="1"/>
  <c r="C15" i="20"/>
  <c r="B15" i="20" s="1"/>
  <c r="C14" i="20"/>
  <c r="B14" i="20" s="1"/>
  <c r="C13" i="20"/>
  <c r="B13" i="20" s="1"/>
  <c r="C12" i="20"/>
  <c r="B12" i="20" s="1"/>
  <c r="C11" i="20"/>
  <c r="B11" i="20" s="1"/>
  <c r="C10" i="20"/>
  <c r="B10" i="20" s="1"/>
  <c r="C9" i="20"/>
  <c r="B9" i="20" s="1"/>
  <c r="C8" i="20"/>
  <c r="B8" i="20" s="1"/>
  <c r="C7" i="20"/>
  <c r="B7" i="20" s="1"/>
  <c r="C6" i="20"/>
  <c r="B6" i="20" s="1"/>
  <c r="C5" i="20"/>
  <c r="B5" i="20" s="1"/>
  <c r="C4" i="20"/>
  <c r="B4" i="20" s="1"/>
  <c r="C3" i="20"/>
  <c r="B3" i="20" s="1"/>
  <c r="C2" i="20"/>
  <c r="B2" i="20" s="1"/>
  <c r="G5" i="8" l="1"/>
  <c r="G6" i="8" s="1"/>
  <c r="G7" i="8" s="1"/>
  <c r="L25" i="23"/>
  <c r="L41" i="23"/>
  <c r="L40" i="23"/>
  <c r="L30" i="23"/>
  <c r="L31" i="23"/>
  <c r="L20" i="23"/>
  <c r="L39" i="23"/>
  <c r="O41" i="10"/>
  <c r="N41" i="10"/>
  <c r="M41" i="10"/>
  <c r="L42" i="23"/>
  <c r="L32" i="23"/>
  <c r="L26" i="23"/>
  <c r="L18" i="23"/>
  <c r="L44" i="23"/>
  <c r="L17" i="23"/>
  <c r="A1" i="15"/>
  <c r="J77" i="10"/>
  <c r="G8" i="8" l="1"/>
  <c r="G9" i="8" s="1"/>
  <c r="G10" i="8" s="1"/>
  <c r="G11" i="8" s="1"/>
  <c r="G12" i="8" s="1"/>
  <c r="G13" i="8" s="1"/>
  <c r="G14" i="8" s="1"/>
  <c r="K77" i="10"/>
  <c r="J76" i="10"/>
  <c r="J75" i="10"/>
  <c r="J84" i="10"/>
  <c r="J86" i="10"/>
  <c r="J85" i="10"/>
  <c r="B30" i="15"/>
  <c r="B22" i="15"/>
  <c r="L41" i="10" l="1"/>
  <c r="K41" i="10" s="1"/>
  <c r="I2" i="10"/>
  <c r="J2" i="10" s="1"/>
  <c r="P41" i="10" l="1"/>
  <c r="O2" i="10"/>
  <c r="N2" i="10"/>
  <c r="M2" i="10"/>
  <c r="E2" i="20"/>
  <c r="F37" i="20" l="1"/>
  <c r="H37" i="20" s="1"/>
  <c r="F35" i="20"/>
  <c r="H35" i="20" s="1"/>
  <c r="F36" i="20" l="1"/>
  <c r="H36" i="20" s="1"/>
  <c r="I30" i="10"/>
  <c r="J30" i="10" s="1"/>
  <c r="O30" i="10" l="1"/>
  <c r="N30" i="10"/>
  <c r="M30" i="10"/>
  <c r="E15" i="20"/>
  <c r="I44" i="10"/>
  <c r="J44" i="10" s="1"/>
  <c r="I42" i="10"/>
  <c r="J42" i="10" s="1"/>
  <c r="I40" i="10"/>
  <c r="J40" i="10" s="1"/>
  <c r="I39" i="10"/>
  <c r="J39" i="10" s="1"/>
  <c r="I32" i="10"/>
  <c r="J32" i="10" s="1"/>
  <c r="I31" i="10"/>
  <c r="J31" i="10" s="1"/>
  <c r="I26" i="10"/>
  <c r="J26" i="10" s="1"/>
  <c r="I25" i="10"/>
  <c r="J25" i="10" s="1"/>
  <c r="I20" i="10"/>
  <c r="J20" i="10" s="1"/>
  <c r="I18" i="10"/>
  <c r="J18" i="10" s="1"/>
  <c r="I17" i="10"/>
  <c r="J17" i="10" s="1"/>
  <c r="I1" i="10"/>
  <c r="L1" i="10"/>
  <c r="K1" i="10"/>
  <c r="J1" i="10"/>
  <c r="C14" i="8"/>
  <c r="C13" i="8"/>
  <c r="C12" i="8"/>
  <c r="C11" i="8"/>
  <c r="C10" i="8"/>
  <c r="C9" i="8"/>
  <c r="C8" i="8"/>
  <c r="C7" i="8"/>
  <c r="C5" i="17" s="1"/>
  <c r="C6" i="8"/>
  <c r="C5" i="8"/>
  <c r="C4" i="8"/>
  <c r="I67" i="10" l="1"/>
  <c r="I68" i="10"/>
  <c r="I65" i="10"/>
  <c r="I66" i="10"/>
  <c r="J66" i="10" s="1"/>
  <c r="L77" i="10"/>
  <c r="I63" i="10"/>
  <c r="J63" i="10" s="1"/>
  <c r="O32" i="10"/>
  <c r="N32" i="10"/>
  <c r="M32" i="10"/>
  <c r="O42" i="10"/>
  <c r="N42" i="10"/>
  <c r="M42" i="10"/>
  <c r="M44" i="10"/>
  <c r="N44" i="10"/>
  <c r="O44" i="10"/>
  <c r="N17" i="10"/>
  <c r="O17" i="10"/>
  <c r="M17" i="10"/>
  <c r="O18" i="10"/>
  <c r="N18" i="10"/>
  <c r="M18" i="10"/>
  <c r="O20" i="10"/>
  <c r="M20" i="10"/>
  <c r="N20" i="10"/>
  <c r="N31" i="10"/>
  <c r="O31" i="10"/>
  <c r="M31" i="10"/>
  <c r="O39" i="10"/>
  <c r="M39" i="10"/>
  <c r="N39" i="10"/>
  <c r="N40" i="10"/>
  <c r="O40" i="10"/>
  <c r="M40" i="10"/>
  <c r="O25" i="10"/>
  <c r="N25" i="10"/>
  <c r="M25" i="10"/>
  <c r="N26" i="10"/>
  <c r="O26" i="10"/>
  <c r="M26" i="10"/>
  <c r="L76" i="10"/>
  <c r="L85" i="10"/>
  <c r="L86" i="10"/>
  <c r="L84" i="10"/>
  <c r="E33" i="20"/>
  <c r="E25" i="20"/>
  <c r="E12" i="20"/>
  <c r="E16" i="20"/>
  <c r="E17" i="20"/>
  <c r="E23" i="20"/>
  <c r="E4" i="20"/>
  <c r="E26" i="20"/>
  <c r="E5" i="20"/>
  <c r="E24" i="20"/>
  <c r="E6" i="20"/>
  <c r="E11" i="20"/>
  <c r="E34" i="20"/>
  <c r="I21" i="10"/>
  <c r="J21" i="10" s="1"/>
  <c r="I37" i="10"/>
  <c r="J37" i="10" s="1"/>
  <c r="I28" i="10"/>
  <c r="J28" i="10" s="1"/>
  <c r="I23" i="10"/>
  <c r="J23" i="10" s="1"/>
  <c r="I36" i="10"/>
  <c r="J36" i="10" s="1"/>
  <c r="I27" i="10"/>
  <c r="J27" i="10" s="1"/>
  <c r="I16" i="10"/>
  <c r="J16" i="10" s="1"/>
  <c r="I22" i="10"/>
  <c r="J22" i="10" s="1"/>
  <c r="I33" i="10"/>
  <c r="J33" i="10" s="1"/>
  <c r="E31" i="20"/>
  <c r="I35" i="10"/>
  <c r="J35" i="10" s="1"/>
  <c r="I45" i="10"/>
  <c r="J45" i="10" s="1"/>
  <c r="I24" i="10"/>
  <c r="J24" i="10" s="1"/>
  <c r="I38" i="10"/>
  <c r="J38" i="10" s="1"/>
  <c r="L30" i="10"/>
  <c r="K30" i="10" s="1"/>
  <c r="L2" i="10"/>
  <c r="K2" i="10" s="1"/>
  <c r="J65" i="10" l="1"/>
  <c r="P65" i="10" s="1"/>
  <c r="J68" i="10"/>
  <c r="P68" i="10" s="1"/>
  <c r="P67" i="10"/>
  <c r="J67" i="10"/>
  <c r="B26" i="15"/>
  <c r="I34" i="10"/>
  <c r="P66" i="10"/>
  <c r="N77" i="10"/>
  <c r="M77" i="10"/>
  <c r="L25" i="10"/>
  <c r="K25" i="10" s="1"/>
  <c r="L17" i="10"/>
  <c r="K17" i="10" s="1"/>
  <c r="I29" i="10"/>
  <c r="I56" i="10"/>
  <c r="I43" i="10"/>
  <c r="I19" i="10"/>
  <c r="L42" i="10"/>
  <c r="K42" i="10" s="1"/>
  <c r="L26" i="10"/>
  <c r="K26" i="10" s="1"/>
  <c r="L39" i="10"/>
  <c r="K39" i="10" s="1"/>
  <c r="L18" i="10"/>
  <c r="K18" i="10" s="1"/>
  <c r="L32" i="10"/>
  <c r="K32" i="10" s="1"/>
  <c r="L40" i="10"/>
  <c r="K40" i="10" s="1"/>
  <c r="L20" i="10"/>
  <c r="K20" i="10" s="1"/>
  <c r="L31" i="10"/>
  <c r="K31" i="10" s="1"/>
  <c r="O35" i="10"/>
  <c r="M35" i="10"/>
  <c r="N35" i="10"/>
  <c r="O28" i="10"/>
  <c r="N28" i="10"/>
  <c r="M28" i="10"/>
  <c r="L44" i="10"/>
  <c r="K44" i="10" s="1"/>
  <c r="O37" i="10"/>
  <c r="N37" i="10"/>
  <c r="M37" i="10"/>
  <c r="N22" i="10"/>
  <c r="O22" i="10"/>
  <c r="M22" i="10"/>
  <c r="O21" i="10"/>
  <c r="N21" i="10"/>
  <c r="M21" i="10"/>
  <c r="O23" i="10"/>
  <c r="N23" i="10"/>
  <c r="M23" i="10"/>
  <c r="M45" i="10"/>
  <c r="M56" i="10" s="1"/>
  <c r="O45" i="10"/>
  <c r="O56" i="10" s="1"/>
  <c r="N45" i="10"/>
  <c r="N56" i="10" s="1"/>
  <c r="O38" i="10"/>
  <c r="N38" i="10"/>
  <c r="M38" i="10"/>
  <c r="N36" i="10"/>
  <c r="O36" i="10"/>
  <c r="M36" i="10"/>
  <c r="O33" i="10"/>
  <c r="O34" i="10" s="1"/>
  <c r="M33" i="10"/>
  <c r="M34" i="10" s="1"/>
  <c r="N33" i="10"/>
  <c r="N34" i="10" s="1"/>
  <c r="O16" i="10"/>
  <c r="N16" i="10"/>
  <c r="M16" i="10"/>
  <c r="O27" i="10"/>
  <c r="N27" i="10"/>
  <c r="M27" i="10"/>
  <c r="O24" i="10"/>
  <c r="N24" i="10"/>
  <c r="M24" i="10"/>
  <c r="E30" i="20"/>
  <c r="B28" i="15"/>
  <c r="B27" i="15"/>
  <c r="E29" i="20"/>
  <c r="E18" i="20"/>
  <c r="E19" i="20"/>
  <c r="E9" i="20"/>
  <c r="E14" i="20"/>
  <c r="E21" i="20"/>
  <c r="E3" i="20"/>
  <c r="E22" i="20"/>
  <c r="E13" i="20"/>
  <c r="E20" i="20"/>
  <c r="E8" i="20"/>
  <c r="E10" i="20"/>
  <c r="E7" i="20"/>
  <c r="E27" i="20"/>
  <c r="L45" i="10" l="1"/>
  <c r="K45" i="10" s="1"/>
  <c r="M29" i="10"/>
  <c r="O29" i="10"/>
  <c r="I57" i="10"/>
  <c r="N29" i="10"/>
  <c r="L23" i="10"/>
  <c r="K23" i="10" s="1"/>
  <c r="N43" i="10"/>
  <c r="M43" i="10"/>
  <c r="O43" i="10"/>
  <c r="P2" i="10"/>
  <c r="N19" i="10"/>
  <c r="O19" i="10"/>
  <c r="M19" i="10"/>
  <c r="L22" i="10"/>
  <c r="K22" i="10" s="1"/>
  <c r="L37" i="10"/>
  <c r="K37" i="10" s="1"/>
  <c r="L16" i="10"/>
  <c r="K16" i="10" s="1"/>
  <c r="L33" i="10"/>
  <c r="K33" i="10" s="1"/>
  <c r="L35" i="10"/>
  <c r="K35" i="10" s="1"/>
  <c r="L27" i="10"/>
  <c r="K27" i="10" s="1"/>
  <c r="L28" i="10"/>
  <c r="K28" i="10" s="1"/>
  <c r="F2" i="20"/>
  <c r="L36" i="10"/>
  <c r="K36" i="10" s="1"/>
  <c r="L24" i="10"/>
  <c r="K24" i="10" s="1"/>
  <c r="L38" i="10"/>
  <c r="K38" i="10" s="1"/>
  <c r="L21" i="10"/>
  <c r="K21" i="10" s="1"/>
  <c r="G34" i="20"/>
  <c r="F34" i="20"/>
  <c r="L56" i="10" l="1"/>
  <c r="O57" i="10"/>
  <c r="M57" i="10"/>
  <c r="N57" i="10"/>
  <c r="L43" i="10"/>
  <c r="L19" i="10"/>
  <c r="L29" i="10"/>
  <c r="L34" i="10"/>
  <c r="H34" i="20"/>
  <c r="E32" i="20"/>
  <c r="G2" i="20"/>
  <c r="H2" i="20" s="1"/>
  <c r="A37" i="15" a="1"/>
  <c r="A37" i="15" s="1"/>
  <c r="B6" i="15"/>
  <c r="C6" i="15"/>
  <c r="D6" i="15"/>
  <c r="E6" i="15"/>
  <c r="AO13" i="8"/>
  <c r="AO12" i="8"/>
  <c r="AO11" i="8"/>
  <c r="AO10" i="8"/>
  <c r="AO9" i="8"/>
  <c r="AO8" i="8"/>
  <c r="AO7" i="8"/>
  <c r="AO6" i="8"/>
  <c r="AO5" i="8"/>
  <c r="AO4" i="8"/>
  <c r="AO3" i="8"/>
  <c r="AK13" i="8"/>
  <c r="AJ13" i="8"/>
  <c r="AI13" i="8"/>
  <c r="AH13" i="8"/>
  <c r="AF13" i="8"/>
  <c r="AE13" i="8"/>
  <c r="AD13" i="8"/>
  <c r="AC13" i="8"/>
  <c r="AB13" i="8"/>
  <c r="AA13" i="8"/>
  <c r="Z13" i="8"/>
  <c r="Y13" i="8"/>
  <c r="X13" i="8"/>
  <c r="W13" i="8"/>
  <c r="V13" i="8"/>
  <c r="U13" i="8"/>
  <c r="T13" i="8"/>
  <c r="S13" i="8"/>
  <c r="R13" i="8"/>
  <c r="Q13" i="8"/>
  <c r="P13" i="8"/>
  <c r="O13" i="8"/>
  <c r="N13" i="8"/>
  <c r="M13" i="8"/>
  <c r="L13" i="8"/>
  <c r="K13" i="8"/>
  <c r="AK12" i="8"/>
  <c r="AJ12" i="8"/>
  <c r="AI12" i="8"/>
  <c r="AH12" i="8"/>
  <c r="AF12" i="8"/>
  <c r="AE12" i="8"/>
  <c r="AD12" i="8"/>
  <c r="AC12" i="8"/>
  <c r="AB12" i="8"/>
  <c r="AA12" i="8"/>
  <c r="Z12" i="8"/>
  <c r="Y12" i="8"/>
  <c r="X12" i="8"/>
  <c r="W12" i="8"/>
  <c r="V12" i="8"/>
  <c r="U12" i="8"/>
  <c r="T12" i="8"/>
  <c r="S12" i="8"/>
  <c r="R12" i="8"/>
  <c r="Q12" i="8"/>
  <c r="P12" i="8"/>
  <c r="O12" i="8"/>
  <c r="N12" i="8"/>
  <c r="M12" i="8"/>
  <c r="L12" i="8"/>
  <c r="K12" i="8"/>
  <c r="AK11" i="8"/>
  <c r="AJ11" i="8"/>
  <c r="AI11" i="8"/>
  <c r="AH11" i="8"/>
  <c r="AF11" i="8"/>
  <c r="AE11" i="8"/>
  <c r="AD11" i="8"/>
  <c r="AC11" i="8"/>
  <c r="AB11" i="8"/>
  <c r="AA11" i="8"/>
  <c r="Z11" i="8"/>
  <c r="Y11" i="8"/>
  <c r="X11" i="8"/>
  <c r="W11" i="8"/>
  <c r="V11" i="8"/>
  <c r="U11" i="8"/>
  <c r="T11" i="8"/>
  <c r="S11" i="8"/>
  <c r="R11" i="8"/>
  <c r="Q11" i="8"/>
  <c r="P11" i="8"/>
  <c r="O11" i="8"/>
  <c r="N11" i="8"/>
  <c r="M11" i="8"/>
  <c r="L11" i="8"/>
  <c r="K11" i="8"/>
  <c r="AK10" i="8"/>
  <c r="AJ10" i="8"/>
  <c r="AI10" i="8"/>
  <c r="AH10" i="8"/>
  <c r="AF10" i="8"/>
  <c r="AE10" i="8"/>
  <c r="AD10" i="8"/>
  <c r="AC10" i="8"/>
  <c r="AB10" i="8"/>
  <c r="AA10" i="8"/>
  <c r="Z10" i="8"/>
  <c r="Y10" i="8"/>
  <c r="X10" i="8"/>
  <c r="W10" i="8"/>
  <c r="V10" i="8"/>
  <c r="U10" i="8"/>
  <c r="T10" i="8"/>
  <c r="S10" i="8"/>
  <c r="R10" i="8"/>
  <c r="Q10" i="8"/>
  <c r="P10" i="8"/>
  <c r="O10" i="8"/>
  <c r="N10" i="8"/>
  <c r="M10" i="8"/>
  <c r="L10" i="8"/>
  <c r="K10" i="8"/>
  <c r="AK9" i="8"/>
  <c r="AJ9" i="8"/>
  <c r="AI9" i="8"/>
  <c r="AH9" i="8"/>
  <c r="AF9" i="8"/>
  <c r="AE9" i="8"/>
  <c r="AD9" i="8"/>
  <c r="AC9" i="8"/>
  <c r="AB9" i="8"/>
  <c r="AA9" i="8"/>
  <c r="Z9" i="8"/>
  <c r="Y9" i="8"/>
  <c r="X9" i="8"/>
  <c r="W9" i="8"/>
  <c r="V9" i="8"/>
  <c r="U9" i="8"/>
  <c r="T9" i="8"/>
  <c r="S9" i="8"/>
  <c r="R9" i="8"/>
  <c r="Q9" i="8"/>
  <c r="P9" i="8"/>
  <c r="O9" i="8"/>
  <c r="N9" i="8"/>
  <c r="M9" i="8"/>
  <c r="L9" i="8"/>
  <c r="K9" i="8"/>
  <c r="AK8" i="8"/>
  <c r="AJ8" i="8"/>
  <c r="AI8" i="8"/>
  <c r="AH8" i="8"/>
  <c r="AF8" i="8"/>
  <c r="AE8" i="8"/>
  <c r="AD8" i="8"/>
  <c r="AC8" i="8"/>
  <c r="AB8" i="8"/>
  <c r="AA8" i="8"/>
  <c r="Z8" i="8"/>
  <c r="Y8" i="8"/>
  <c r="X8" i="8"/>
  <c r="W8" i="8"/>
  <c r="V8" i="8"/>
  <c r="U8" i="8"/>
  <c r="T8" i="8"/>
  <c r="S8" i="8"/>
  <c r="R8" i="8"/>
  <c r="Q8" i="8"/>
  <c r="P8" i="8"/>
  <c r="O8" i="8"/>
  <c r="N8" i="8"/>
  <c r="M8" i="8"/>
  <c r="L8" i="8"/>
  <c r="K8" i="8"/>
  <c r="AK7" i="8"/>
  <c r="AJ7" i="8"/>
  <c r="AI7" i="8"/>
  <c r="AH7" i="8"/>
  <c r="AF7" i="8"/>
  <c r="AE7" i="8"/>
  <c r="AD7" i="8"/>
  <c r="AC7" i="8"/>
  <c r="AB7" i="8"/>
  <c r="AA7" i="8"/>
  <c r="Z7" i="8"/>
  <c r="Y7" i="8"/>
  <c r="X7" i="8"/>
  <c r="W7" i="8"/>
  <c r="V7" i="8"/>
  <c r="U7" i="8"/>
  <c r="T7" i="8"/>
  <c r="S7" i="8"/>
  <c r="R7" i="8"/>
  <c r="Q7" i="8"/>
  <c r="P7" i="8"/>
  <c r="O7" i="8"/>
  <c r="N7" i="8"/>
  <c r="M7" i="8"/>
  <c r="L7" i="8"/>
  <c r="K7" i="8"/>
  <c r="AK6" i="8"/>
  <c r="AJ6" i="8"/>
  <c r="AI6" i="8"/>
  <c r="AH6" i="8"/>
  <c r="AF6" i="8"/>
  <c r="AE6" i="8"/>
  <c r="AD6" i="8"/>
  <c r="AC6" i="8"/>
  <c r="AB6" i="8"/>
  <c r="AA6" i="8"/>
  <c r="Z6" i="8"/>
  <c r="Y6" i="8"/>
  <c r="X6" i="8"/>
  <c r="W6" i="8"/>
  <c r="V6" i="8"/>
  <c r="U6" i="8"/>
  <c r="T6" i="8"/>
  <c r="S6" i="8"/>
  <c r="R6" i="8"/>
  <c r="Q6" i="8"/>
  <c r="P6" i="8"/>
  <c r="O6" i="8"/>
  <c r="N6" i="8"/>
  <c r="M6" i="8"/>
  <c r="L6" i="8"/>
  <c r="K6" i="8"/>
  <c r="AK5" i="8"/>
  <c r="AJ5" i="8"/>
  <c r="AI5" i="8"/>
  <c r="AH5" i="8"/>
  <c r="AF5" i="8"/>
  <c r="AE5" i="8"/>
  <c r="AD5" i="8"/>
  <c r="AC5" i="8"/>
  <c r="AB5" i="8"/>
  <c r="AA5" i="8"/>
  <c r="Z5" i="8"/>
  <c r="Y5" i="8"/>
  <c r="X5" i="8"/>
  <c r="W5" i="8"/>
  <c r="V5" i="8"/>
  <c r="U5" i="8"/>
  <c r="T5" i="8"/>
  <c r="S5" i="8"/>
  <c r="R5" i="8"/>
  <c r="Q5" i="8"/>
  <c r="P5" i="8"/>
  <c r="O5" i="8"/>
  <c r="N5" i="8"/>
  <c r="M5" i="8"/>
  <c r="L5" i="8"/>
  <c r="K5" i="8"/>
  <c r="AK4" i="8"/>
  <c r="AJ4" i="8"/>
  <c r="AI4" i="8"/>
  <c r="AH4" i="8"/>
  <c r="AF4" i="8"/>
  <c r="AE4" i="8"/>
  <c r="AD4" i="8"/>
  <c r="AC4" i="8"/>
  <c r="AB4" i="8"/>
  <c r="AA4" i="8"/>
  <c r="Z4" i="8"/>
  <c r="Y4" i="8"/>
  <c r="X4" i="8"/>
  <c r="W4" i="8"/>
  <c r="V4" i="8"/>
  <c r="U4" i="8"/>
  <c r="T4" i="8"/>
  <c r="S4" i="8"/>
  <c r="R4" i="8"/>
  <c r="Q4" i="8"/>
  <c r="P4" i="8"/>
  <c r="O4" i="8"/>
  <c r="N4" i="8"/>
  <c r="M4" i="8"/>
  <c r="L4" i="8"/>
  <c r="K4" i="8"/>
  <c r="AK3" i="8"/>
  <c r="AJ3" i="8"/>
  <c r="AI3" i="8"/>
  <c r="AH3" i="8"/>
  <c r="AF3" i="8"/>
  <c r="AE3" i="8"/>
  <c r="AD3" i="8"/>
  <c r="AC3" i="8"/>
  <c r="AB3" i="8"/>
  <c r="AA3" i="8"/>
  <c r="Z3" i="8"/>
  <c r="Y3" i="8"/>
  <c r="X3" i="8"/>
  <c r="W3" i="8"/>
  <c r="V3" i="8"/>
  <c r="U3" i="8"/>
  <c r="T3" i="8"/>
  <c r="S3" i="8"/>
  <c r="R3" i="8"/>
  <c r="Q3" i="8"/>
  <c r="P3" i="8"/>
  <c r="O3" i="8"/>
  <c r="N3" i="8"/>
  <c r="M3" i="8"/>
  <c r="L3" i="8"/>
  <c r="K3" i="8"/>
  <c r="E13" i="8"/>
  <c r="E12" i="8"/>
  <c r="E11" i="8"/>
  <c r="E10" i="8"/>
  <c r="E9" i="8"/>
  <c r="E8" i="8"/>
  <c r="E7" i="8"/>
  <c r="E6" i="8"/>
  <c r="E5" i="8"/>
  <c r="E4" i="8"/>
  <c r="E3" i="8"/>
  <c r="P27" i="10" l="1"/>
  <c r="G13" i="20" s="1"/>
  <c r="H13" i="20" s="1"/>
  <c r="P36" i="10"/>
  <c r="G20" i="20" s="1"/>
  <c r="P23" i="10"/>
  <c r="G9" i="20" s="1"/>
  <c r="H9" i="20" s="1"/>
  <c r="P24" i="10"/>
  <c r="G10" i="20" s="1"/>
  <c r="H10" i="20" s="1"/>
  <c r="P22" i="10"/>
  <c r="G8" i="20" s="1"/>
  <c r="P38" i="10"/>
  <c r="G22" i="20" s="1"/>
  <c r="H22" i="20" s="1"/>
  <c r="P21" i="10"/>
  <c r="G7" i="20" s="1"/>
  <c r="H7" i="20" s="1"/>
  <c r="F21" i="20"/>
  <c r="F27" i="20"/>
  <c r="P33" i="10"/>
  <c r="G18" i="20" s="1"/>
  <c r="H18" i="20" s="1"/>
  <c r="P28" i="10"/>
  <c r="G14" i="20" s="1"/>
  <c r="H14" i="20" s="1"/>
  <c r="L75" i="10"/>
  <c r="L57" i="10"/>
  <c r="K76" i="10"/>
  <c r="N76" i="10" s="1"/>
  <c r="M76" i="10"/>
  <c r="F32" i="20"/>
  <c r="F33" i="20"/>
  <c r="G33" i="20"/>
  <c r="H33" i="20" s="1"/>
  <c r="P16" i="10" l="1"/>
  <c r="G3" i="20" s="1"/>
  <c r="F11" i="20"/>
  <c r="K19" i="10"/>
  <c r="F23" i="20"/>
  <c r="F4" i="20"/>
  <c r="P32" i="10"/>
  <c r="G17" i="20" s="1"/>
  <c r="F24" i="20"/>
  <c r="F28" i="20"/>
  <c r="J34" i="10"/>
  <c r="P26" i="10"/>
  <c r="G12" i="20" s="1"/>
  <c r="K29" i="10"/>
  <c r="F25" i="20"/>
  <c r="F18" i="20"/>
  <c r="P18" i="10"/>
  <c r="G5" i="20" s="1"/>
  <c r="K43" i="10"/>
  <c r="F10" i="20"/>
  <c r="F12" i="20"/>
  <c r="P25" i="10"/>
  <c r="G11" i="20" s="1"/>
  <c r="P40" i="10"/>
  <c r="G24" i="20" s="1"/>
  <c r="F9" i="20"/>
  <c r="P17" i="10"/>
  <c r="G4" i="20" s="1"/>
  <c r="F7" i="20"/>
  <c r="P31" i="10"/>
  <c r="G16" i="20" s="1"/>
  <c r="F16" i="20"/>
  <c r="F19" i="20"/>
  <c r="P35" i="10"/>
  <c r="J43" i="10"/>
  <c r="F17" i="20"/>
  <c r="P42" i="10"/>
  <c r="G25" i="20" s="1"/>
  <c r="K34" i="10"/>
  <c r="F22" i="20"/>
  <c r="F3" i="20"/>
  <c r="P39" i="10"/>
  <c r="G23" i="20" s="1"/>
  <c r="J19" i="10"/>
  <c r="F5" i="20"/>
  <c r="P30" i="10"/>
  <c r="F15" i="20"/>
  <c r="F14" i="20"/>
  <c r="P37" i="10"/>
  <c r="G21" i="20" s="1"/>
  <c r="H21" i="20" s="1"/>
  <c r="F8" i="20"/>
  <c r="H8" i="20" s="1"/>
  <c r="F13" i="20"/>
  <c r="F6" i="20"/>
  <c r="J29" i="10"/>
  <c r="P20" i="10"/>
  <c r="F26" i="20"/>
  <c r="P44" i="10"/>
  <c r="P45" i="10"/>
  <c r="G27" i="20" s="1"/>
  <c r="H27" i="20" s="1"/>
  <c r="F20" i="20"/>
  <c r="H20" i="20" s="1"/>
  <c r="B25" i="15"/>
  <c r="G32" i="20"/>
  <c r="H32" i="20" s="1"/>
  <c r="G29" i="20"/>
  <c r="F29" i="20"/>
  <c r="G31" i="20"/>
  <c r="H3" i="20" l="1"/>
  <c r="G28" i="20"/>
  <c r="H28" i="20" s="1"/>
  <c r="H24" i="20"/>
  <c r="H17" i="20"/>
  <c r="H23" i="20"/>
  <c r="H11" i="20"/>
  <c r="P19" i="10"/>
  <c r="H25" i="20"/>
  <c r="H12" i="20"/>
  <c r="H16" i="20"/>
  <c r="H4" i="20"/>
  <c r="H5" i="20"/>
  <c r="G26" i="20"/>
  <c r="H26" i="20" s="1"/>
  <c r="G15" i="20"/>
  <c r="H15" i="20" s="1"/>
  <c r="P34" i="10"/>
  <c r="G6" i="20"/>
  <c r="H6" i="20" s="1"/>
  <c r="P29" i="10"/>
  <c r="G19" i="20"/>
  <c r="H19" i="20" s="1"/>
  <c r="P43" i="10"/>
  <c r="H29" i="20"/>
  <c r="F31" i="20"/>
  <c r="H31" i="20" s="1"/>
  <c r="J1" i="23" l="1"/>
  <c r="C6" i="24" s="1"/>
  <c r="L1" i="23"/>
  <c r="E6" i="24" s="1"/>
  <c r="D5" i="22"/>
  <c r="K1" i="23"/>
  <c r="D6" i="24" s="1"/>
  <c r="K75" i="23"/>
  <c r="K76" i="23"/>
  <c r="K40" i="23"/>
  <c r="K39" i="23"/>
  <c r="K32" i="23"/>
  <c r="K25" i="23"/>
  <c r="K26" i="23"/>
  <c r="K18" i="23"/>
  <c r="P18" i="23" s="1"/>
  <c r="K17" i="23"/>
  <c r="P17" i="23" s="1"/>
  <c r="K42" i="23"/>
  <c r="K31" i="23"/>
  <c r="K30" i="23"/>
  <c r="C5" i="22"/>
  <c r="L82" i="23" s="1"/>
  <c r="K20" i="23"/>
  <c r="I2" i="23"/>
  <c r="N2" i="23" s="1"/>
  <c r="I1" i="23"/>
  <c r="B6" i="24" s="1"/>
  <c r="I35" i="23" l="1"/>
  <c r="P39" i="23"/>
  <c r="K41" i="23"/>
  <c r="P41" i="23" s="1"/>
  <c r="I64" i="23"/>
  <c r="M2" i="23"/>
  <c r="M19" i="23" s="1"/>
  <c r="I22" i="23"/>
  <c r="J22" i="23" s="1"/>
  <c r="L80" i="23"/>
  <c r="P31" i="23"/>
  <c r="N19" i="23"/>
  <c r="P30" i="23"/>
  <c r="P20" i="23"/>
  <c r="K2" i="23"/>
  <c r="P42" i="23"/>
  <c r="I61" i="23"/>
  <c r="I45" i="23"/>
  <c r="J45" i="23" s="1"/>
  <c r="I28" i="23"/>
  <c r="J28" i="23" s="1"/>
  <c r="I33" i="23"/>
  <c r="J33" i="23" s="1"/>
  <c r="O2" i="23"/>
  <c r="I21" i="23"/>
  <c r="J21" i="23" s="1"/>
  <c r="K44" i="23"/>
  <c r="P44" i="23" s="1"/>
  <c r="P26" i="23"/>
  <c r="I38" i="23"/>
  <c r="J38" i="23" s="1"/>
  <c r="I23" i="23"/>
  <c r="J23" i="23" s="1"/>
  <c r="P40" i="23"/>
  <c r="I63" i="23"/>
  <c r="I24" i="23"/>
  <c r="J24" i="23" s="1"/>
  <c r="I37" i="23"/>
  <c r="J37" i="23" s="1"/>
  <c r="I27" i="23"/>
  <c r="J27" i="23" s="1"/>
  <c r="I65" i="23"/>
  <c r="J65" i="23" s="1"/>
  <c r="L75" i="23"/>
  <c r="I36" i="23"/>
  <c r="J36" i="23" s="1"/>
  <c r="I66" i="23"/>
  <c r="J66" i="23" s="1"/>
  <c r="L81" i="23"/>
  <c r="I16" i="23"/>
  <c r="J16" i="23" s="1"/>
  <c r="P25" i="23"/>
  <c r="P32" i="23"/>
  <c r="L76" i="23"/>
  <c r="N35" i="23" l="1"/>
  <c r="J35" i="23"/>
  <c r="K35" i="23" s="1"/>
  <c r="P35" i="23" s="1"/>
  <c r="B26" i="24"/>
  <c r="I19" i="23"/>
  <c r="J64" i="23"/>
  <c r="P64" i="23" s="1"/>
  <c r="P2" i="23"/>
  <c r="B28" i="24"/>
  <c r="M35" i="23"/>
  <c r="O35" i="23"/>
  <c r="M22" i="23"/>
  <c r="O22" i="23"/>
  <c r="N22" i="23"/>
  <c r="K22" i="23"/>
  <c r="P22" i="23" s="1"/>
  <c r="P66" i="23"/>
  <c r="M76" i="23"/>
  <c r="N76" i="23"/>
  <c r="K24" i="23"/>
  <c r="P24" i="23" s="1"/>
  <c r="M38" i="23"/>
  <c r="N38" i="23"/>
  <c r="O38" i="23"/>
  <c r="I29" i="23"/>
  <c r="O19" i="23"/>
  <c r="I43" i="23"/>
  <c r="N36" i="23"/>
  <c r="O36" i="23"/>
  <c r="M36" i="23"/>
  <c r="K23" i="23"/>
  <c r="P23" i="23" s="1"/>
  <c r="P65" i="23"/>
  <c r="N33" i="23"/>
  <c r="N34" i="23" s="1"/>
  <c r="I34" i="23"/>
  <c r="O33" i="23"/>
  <c r="O34" i="23" s="1"/>
  <c r="M33" i="23"/>
  <c r="M75" i="23"/>
  <c r="N75" i="23"/>
  <c r="B27" i="24"/>
  <c r="O27" i="23"/>
  <c r="N27" i="23"/>
  <c r="M27" i="23"/>
  <c r="O28" i="23"/>
  <c r="N28" i="23"/>
  <c r="M28" i="23"/>
  <c r="N37" i="23"/>
  <c r="O37" i="23"/>
  <c r="M37" i="23"/>
  <c r="N45" i="23"/>
  <c r="I56" i="23"/>
  <c r="O45" i="23"/>
  <c r="M45" i="23"/>
  <c r="L2" i="23"/>
  <c r="I57" i="23" l="1"/>
  <c r="L35" i="23"/>
  <c r="N29" i="23"/>
  <c r="L22" i="23"/>
  <c r="O56" i="23"/>
  <c r="O29" i="23"/>
  <c r="J43" i="23"/>
  <c r="L28" i="23"/>
  <c r="O43" i="23"/>
  <c r="L38" i="23"/>
  <c r="L36" i="23"/>
  <c r="N43" i="23"/>
  <c r="K33" i="23"/>
  <c r="P33" i="23" s="1"/>
  <c r="J34" i="23"/>
  <c r="J19" i="23"/>
  <c r="K16" i="23"/>
  <c r="K38" i="23"/>
  <c r="P38" i="23" s="1"/>
  <c r="L19" i="23"/>
  <c r="J29" i="23"/>
  <c r="K21" i="23"/>
  <c r="P21" i="23" s="1"/>
  <c r="M56" i="23"/>
  <c r="L45" i="23"/>
  <c r="N56" i="23"/>
  <c r="K37" i="23"/>
  <c r="P37" i="23" s="1"/>
  <c r="K45" i="23"/>
  <c r="J56" i="23"/>
  <c r="K28" i="23"/>
  <c r="P28" i="23" s="1"/>
  <c r="K27" i="23"/>
  <c r="P27" i="23" s="1"/>
  <c r="M34" i="23"/>
  <c r="L33" i="23"/>
  <c r="L27" i="23"/>
  <c r="M29" i="23"/>
  <c r="L37" i="23"/>
  <c r="K36" i="23"/>
  <c r="P36" i="23" s="1"/>
  <c r="M43" i="23"/>
  <c r="M57" i="23" l="1"/>
  <c r="N57" i="23"/>
  <c r="O57" i="23"/>
  <c r="J57" i="23"/>
  <c r="P45" i="23"/>
  <c r="P16" i="23"/>
  <c r="L43" i="23"/>
  <c r="L29" i="23"/>
  <c r="K34" i="23"/>
  <c r="L56" i="23"/>
  <c r="K43" i="23"/>
  <c r="K56" i="23"/>
  <c r="P34" i="23"/>
  <c r="K29" i="23"/>
  <c r="P29" i="23"/>
  <c r="L34" i="23"/>
  <c r="P43" i="23"/>
  <c r="K19" i="23"/>
  <c r="L74" i="23" l="1"/>
  <c r="P56" i="23"/>
  <c r="L57" i="23"/>
  <c r="K57" i="23"/>
  <c r="K69" i="23" s="1"/>
  <c r="P19" i="23"/>
  <c r="P57" i="23" s="1"/>
  <c r="I80" i="23" l="1"/>
  <c r="K80" i="23" s="1"/>
  <c r="N80" i="23" s="1"/>
  <c r="I82" i="23"/>
  <c r="M82" i="23" s="1"/>
  <c r="D74" i="23"/>
  <c r="K86" i="10"/>
  <c r="J61" i="23"/>
  <c r="I81" i="23"/>
  <c r="K81" i="23" s="1"/>
  <c r="N81" i="23" s="1"/>
  <c r="M84" i="10"/>
  <c r="M75" i="10"/>
  <c r="M78" i="10" s="1"/>
  <c r="D75" i="10"/>
  <c r="G16" i="15" s="1"/>
  <c r="I74" i="23"/>
  <c r="K85" i="10"/>
  <c r="N85" i="10" s="1"/>
  <c r="K56" i="10"/>
  <c r="AO20" i="8"/>
  <c r="D84" i="10"/>
  <c r="D85" i="10"/>
  <c r="D80" i="23"/>
  <c r="D86" i="10"/>
  <c r="A27" i="17"/>
  <c r="D81" i="23"/>
  <c r="AO21" i="8"/>
  <c r="A28" i="17"/>
  <c r="A27" i="22"/>
  <c r="A28" i="22"/>
  <c r="D82" i="23"/>
  <c r="G16" i="24" l="1"/>
  <c r="G17" i="24"/>
  <c r="P63" i="10"/>
  <c r="P69" i="10" s="1"/>
  <c r="J69" i="10"/>
  <c r="N86" i="10"/>
  <c r="J67" i="23"/>
  <c r="J69" i="23" s="1"/>
  <c r="L69" i="23" s="1"/>
  <c r="P61" i="23"/>
  <c r="G15" i="24" s="1"/>
  <c r="G11" i="24"/>
  <c r="G10" i="24"/>
  <c r="G7" i="24"/>
  <c r="G18" i="24"/>
  <c r="G8" i="24"/>
  <c r="G9" i="24"/>
  <c r="G26" i="15"/>
  <c r="C26" i="15"/>
  <c r="F26" i="15" s="1"/>
  <c r="G18" i="15"/>
  <c r="G9" i="15"/>
  <c r="G7" i="15"/>
  <c r="G10" i="15"/>
  <c r="G8" i="15"/>
  <c r="G17" i="15"/>
  <c r="G26" i="24"/>
  <c r="C26" i="24"/>
  <c r="F26" i="24" s="1"/>
  <c r="F30" i="20"/>
  <c r="C27" i="15"/>
  <c r="F27" i="15" s="1"/>
  <c r="K75" i="10"/>
  <c r="N75" i="10" s="1"/>
  <c r="N78" i="10" s="1"/>
  <c r="M81" i="23"/>
  <c r="P56" i="10"/>
  <c r="P57" i="10" s="1"/>
  <c r="K57" i="10"/>
  <c r="K71" i="10" s="1"/>
  <c r="G11" i="15"/>
  <c r="K84" i="10"/>
  <c r="N84" i="10" s="1"/>
  <c r="M86" i="10"/>
  <c r="K82" i="23"/>
  <c r="K74" i="23"/>
  <c r="J56" i="10"/>
  <c r="M85" i="10"/>
  <c r="G27" i="15"/>
  <c r="C27" i="24"/>
  <c r="F27" i="24" s="1"/>
  <c r="D11" i="15"/>
  <c r="D7" i="15"/>
  <c r="D7" i="24"/>
  <c r="D9" i="15"/>
  <c r="D10" i="15"/>
  <c r="G27" i="24"/>
  <c r="D8" i="24"/>
  <c r="D11" i="24"/>
  <c r="M80" i="23"/>
  <c r="D8" i="15"/>
  <c r="D10" i="24"/>
  <c r="D9" i="24"/>
  <c r="M87" i="10" l="1"/>
  <c r="M88" i="10" s="1"/>
  <c r="C17" i="24"/>
  <c r="F17" i="24" s="1"/>
  <c r="B17" i="24"/>
  <c r="C28" i="15"/>
  <c r="F28" i="15" s="1"/>
  <c r="N87" i="10"/>
  <c r="N88" i="10" s="1"/>
  <c r="G25" i="15"/>
  <c r="G15" i="15"/>
  <c r="G19" i="15" s="1"/>
  <c r="G30" i="20"/>
  <c r="H30" i="20" s="1"/>
  <c r="P71" i="10"/>
  <c r="P67" i="23"/>
  <c r="P69" i="23" s="1"/>
  <c r="C16" i="24"/>
  <c r="F16" i="24" s="1"/>
  <c r="N82" i="23"/>
  <c r="N83" i="23" s="1"/>
  <c r="M83" i="23"/>
  <c r="D12" i="15"/>
  <c r="G12" i="15"/>
  <c r="G19" i="24"/>
  <c r="D12" i="24"/>
  <c r="G12" i="24"/>
  <c r="C25" i="15"/>
  <c r="G28" i="24"/>
  <c r="J57" i="10"/>
  <c r="J71" i="10" s="1"/>
  <c r="L71" i="10" s="1"/>
  <c r="G28" i="15"/>
  <c r="G29" i="15" l="1"/>
  <c r="M91" i="10"/>
  <c r="N91" i="10"/>
  <c r="B16" i="15"/>
  <c r="C16" i="15"/>
  <c r="F16" i="15" s="1"/>
  <c r="B16" i="24"/>
  <c r="C28" i="24"/>
  <c r="F28" i="24" s="1"/>
  <c r="F25" i="15"/>
  <c r="C29" i="15"/>
  <c r="F29" i="15" s="1"/>
  <c r="G21" i="15"/>
  <c r="G21" i="24"/>
  <c r="C8" i="15"/>
  <c r="C11" i="15"/>
  <c r="C17" i="15"/>
  <c r="C18" i="15"/>
  <c r="E7" i="15"/>
  <c r="E9" i="15"/>
  <c r="E8" i="15"/>
  <c r="E10" i="15"/>
  <c r="E11" i="15"/>
  <c r="G32" i="15" l="1"/>
  <c r="E12" i="15"/>
  <c r="E21" i="15" s="1"/>
  <c r="E32" i="15" s="1"/>
  <c r="C7" i="15"/>
  <c r="C10" i="15"/>
  <c r="F10" i="15" s="1"/>
  <c r="C9" i="15"/>
  <c r="F9" i="15" s="1"/>
  <c r="B11" i="15"/>
  <c r="C15" i="15"/>
  <c r="B10" i="15"/>
  <c r="B7" i="15"/>
  <c r="F8" i="15"/>
  <c r="F17" i="15"/>
  <c r="F11" i="15"/>
  <c r="F18" i="15"/>
  <c r="E11" i="24"/>
  <c r="E7" i="24"/>
  <c r="E10" i="24"/>
  <c r="E9" i="24"/>
  <c r="E8" i="24"/>
  <c r="C12" i="15" l="1"/>
  <c r="F15" i="15"/>
  <c r="F19" i="15" s="1"/>
  <c r="C19" i="15"/>
  <c r="E12" i="24"/>
  <c r="E21" i="24" s="1"/>
  <c r="E32" i="24" s="1"/>
  <c r="B9" i="15"/>
  <c r="B15" i="15"/>
  <c r="B18" i="15"/>
  <c r="B17" i="15"/>
  <c r="B8" i="15"/>
  <c r="F7" i="15"/>
  <c r="F12" i="15" s="1"/>
  <c r="C11" i="24"/>
  <c r="F11" i="24" s="1"/>
  <c r="C10" i="24"/>
  <c r="F10" i="24" s="1"/>
  <c r="C9" i="24"/>
  <c r="F9" i="24" s="1"/>
  <c r="C18" i="24"/>
  <c r="F18" i="24" s="1"/>
  <c r="C15" i="24"/>
  <c r="C8" i="24"/>
  <c r="F8" i="24" s="1"/>
  <c r="C7" i="24"/>
  <c r="B12" i="15" l="1"/>
  <c r="C21" i="15"/>
  <c r="C32" i="15" s="1"/>
  <c r="F21" i="15"/>
  <c r="F32" i="15" s="1"/>
  <c r="F15" i="24"/>
  <c r="C19" i="24"/>
  <c r="C12" i="24"/>
  <c r="F7" i="24"/>
  <c r="F12" i="24" s="1"/>
  <c r="B11" i="24"/>
  <c r="B10" i="24"/>
  <c r="B9" i="24"/>
  <c r="B18" i="24"/>
  <c r="B8" i="24"/>
  <c r="B15" i="24"/>
  <c r="B7" i="24"/>
  <c r="N74" i="23"/>
  <c r="N77" i="23" l="1"/>
  <c r="F19" i="24"/>
  <c r="F21" i="24" s="1"/>
  <c r="C21" i="24"/>
  <c r="B12" i="24"/>
  <c r="C25" i="24"/>
  <c r="M74" i="23"/>
  <c r="B25" i="24"/>
  <c r="N84" i="23" l="1"/>
  <c r="N86" i="23"/>
  <c r="G25" i="24"/>
  <c r="G29" i="24" s="1"/>
  <c r="G32" i="24" s="1"/>
  <c r="M77" i="23"/>
  <c r="M84" i="23" s="1"/>
  <c r="M86" i="23" s="1"/>
  <c r="C29" i="24"/>
  <c r="C32" i="24" s="1"/>
  <c r="F25" i="24"/>
  <c r="F29" i="24" l="1"/>
  <c r="F32" i="2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<sst xmlns="http://schemas.openxmlformats.org/spreadsheetml/2006/main" count="1850" uniqueCount="750">
  <si>
    <t>24/7 ACS Enterprise Telephone Support</t>
  </si>
  <si>
    <t>Qty</t>
  </si>
  <si>
    <t>Total</t>
  </si>
  <si>
    <t>200-50040</t>
  </si>
  <si>
    <t>200-50041</t>
  </si>
  <si>
    <t>200-50042</t>
  </si>
  <si>
    <t>200-50043</t>
  </si>
  <si>
    <t>200-50045</t>
  </si>
  <si>
    <t>200-50046</t>
  </si>
  <si>
    <t>200-50047</t>
  </si>
  <si>
    <t>200-50049</t>
  </si>
  <si>
    <t>200-50050</t>
  </si>
  <si>
    <t>200-50052</t>
  </si>
  <si>
    <t>200-50053</t>
  </si>
  <si>
    <t>Product #</t>
  </si>
  <si>
    <t>Remote ACS controller and MMR 2.0 reader firmware updates</t>
  </si>
  <si>
    <t>Remote Door/Entrance Unlock for x - xx seconds</t>
  </si>
  <si>
    <t>Configuration of Door Ajar, Door Opening Excessively during Access and Locked scheduled states. Event message thresholds are configurable for entry and egress supervision frequency.(Requires a Door Contact and Egress device integrated into the ACS controller)</t>
  </si>
  <si>
    <t>Duplicate Credentials read at each location and the distance between locations where the Credential was read via Google Maps integration calculating and displaying distances between locations where the duplicate credentials were read.</t>
  </si>
  <si>
    <t>UoM</t>
  </si>
  <si>
    <t>ea.</t>
  </si>
  <si>
    <t>Annual 24/7 ACS Enterprise software suite Telephone Support</t>
  </si>
  <si>
    <t xml:space="preserve">Remote ACS controller I/O test and status inquiry </t>
  </si>
  <si>
    <t>Remote Door/Entrance Access Schedule State Override with an until date/time (Access, Lock or Open).</t>
  </si>
  <si>
    <t>Active Directory (AD) support</t>
  </si>
  <si>
    <t>Remote ACS Software Install Support</t>
  </si>
  <si>
    <t>One-Time ACS Enterprise Cloud Software Professional Services</t>
  </si>
  <si>
    <t xml:space="preserve">Create/Edit/Deactivate ACS Users and assign ACS User function/data access rights by ACS User/ACS User Profile type (Super Admin, Admin, Super Investigator, Investigator, Super Production user, Production user, etc.)  A user profile is a type of user(s) that has been defined  to perform specified functions within the ACS Enterprise software suite.  </t>
  </si>
  <si>
    <t>Single click of an installation Icon/.exe for all ACS Enterprise Micro Services and UI(s) for Private Cloud / Parabit Public Cloud and On Prem versions and SQL database with automatic Parabit Cloud software license key issuance, cloud key exchange validation and license expiration notice management</t>
  </si>
  <si>
    <t>Prod # Description</t>
  </si>
  <si>
    <t>Create/edit/update/deactivate ACS Users and ACS Users who assign access rights to ACS features</t>
  </si>
  <si>
    <t>Parabit Cloud App/DB Software Instance Activation/Term Management</t>
  </si>
  <si>
    <t>Credential Integration into 3rd Party systems - HR, Time and Attendance, Payroll, Transaction, Credential Management, etc.</t>
  </si>
  <si>
    <t>Product Tree</t>
  </si>
  <si>
    <t xml:space="preserve">Configure Readers and/or Users on type of credential(s) required to access an entrance or group of entrances.  i.e., a reader can require one, two or more types of credentials by Reader or User to gain access to a (or group of) specified Reader.  </t>
  </si>
  <si>
    <t>Define and remotely configure Weekly Access Schedule (Credentials required), Open (entrance unlocked) and Locked (entrance closed)</t>
  </si>
  <si>
    <t xml:space="preserve">Remotely set an ACS controllers Maintenance Mode (Active/Clear) </t>
  </si>
  <si>
    <t>Configure an ACS controller reader to learn/enroll a credential.  The learn/enroll feature is configured by one or more designated User approval(s).</t>
  </si>
  <si>
    <t>Manage Territory's by geographic region, state, time zone, defined controller properties and/or by User. Assign ACS controllers to a Territory(s) and assign Territory(s) to an ACS User(s) supporting assignment of ACS functions to be executed/managed.</t>
  </si>
  <si>
    <t xml:space="preserve">Define, Parse and forward ACS Event Messages collected/received by ACS controllers  via a API / Windows / Micro Service to 3rd party alarm/event message monitoring systems in the following (ContactID, Extended Contact ID, others TBD) formats (MAStermind supported today, but develop interfaces to Genetec, MAStermind, Milestone, Avigilon and others.)  </t>
  </si>
  <si>
    <t>Transmission of ACS Event Messages to non-cloud 3rd party monitoring (MAStermind) applications (Windows Service). (Integration fees may apply)</t>
  </si>
  <si>
    <t>EMR sends an email or text to defined Email Address(s)/Mobile #(s) of ACS events selected</t>
  </si>
  <si>
    <t xml:space="preserve">ACS User Data changed / functions executed Activity Tracking </t>
  </si>
  <si>
    <t>Monitor ACS controller and MMR 2.0 Reader Heartbeats and software / DB availability. Event Messages when ACS hardware, MMR 2.0 readers, ACS software and DB availability are not responding to heartbeat requests</t>
  </si>
  <si>
    <t>Collect/Validate/Report/Notify of ACS hardware configuration discrepancies with configuration settings defined for each ACS / MMR 2.0 hardware device within the DB</t>
  </si>
  <si>
    <t>Suspend ACS hardware and software message transmission and/or integration configuration activation with an until date/time</t>
  </si>
  <si>
    <t xml:space="preserve">ACS Users schedule effective date/time ACS controller/MMR 2.0 reader configurations to be executed, i.e., reader, I/O, 3rd party integrations, temporary override, configuration settings, weekly and holiday schedules, firmware updates, encryption key/certificate updates, data collection, etc. </t>
  </si>
  <si>
    <t>Facility Sensors integrated to an ACS controller and with Third Party Hardware Data Point (ATM, NVR, Alarm system, etc.) integrations for Loitering, Light, Door, Ingress, Egress, SkimGard, etc. supervision</t>
  </si>
  <si>
    <t>Definable ACS data (Credentials read, Event Message, ACS User Activity and hardware configuration history) archive management, reports and archive data history viewer.</t>
  </si>
  <si>
    <t xml:space="preserve">ACS Enterprise software ecosystem Monitoring Service of database connectivity, interservice/API communication, service instance availability and server hardware resources </t>
  </si>
  <si>
    <t>Cloud Key DA / Microservice(s) and Parabit internal UI Manages Cloud DB of PO's received, ACS software instance keys ordered per Tier and Tech software license and new release and license term approaching notifier.</t>
  </si>
  <si>
    <t>Define Annual Holiday Access (Credential required), Open (entrance unlocked) and Locked (entrance closed) schedule. Notify selected ACS users when a future defined holiday date and schedule has not been defined within the ACS database or programmed into the ACS controller</t>
  </si>
  <si>
    <t>Light Sensor monitoring, Presence, Loitering and Single Access Detection, Door Ajar, Door Unsecure and Door opening excessively and Customer Can't Enter or Exit a facility</t>
  </si>
  <si>
    <t>ACS/MMR Cloud/On-Prem Software Installation Per Instance support</t>
  </si>
  <si>
    <t>Scheduled ACS Export / Report Distribution</t>
  </si>
  <si>
    <t>Manage User Access Credential(s) data: Import/Export .csv files
•	Credential Type: Bio Datapoint file1, Bio Datapoint file2, Bio Datapoint file…, Keypad Code, Mobile Device EIN/MAC???, etc.
•	Prox/NFC Card or Bluetooth: Facility Code / BIN number or ID / PAN number
•	5 fields for 1st, middle, last, etc. names 
•	ID used to validate Credential Holder
•	Driver’s License, Passport, Social Security #, Employee ID #, User Defined Credential 1, User Defined Credential 2…
•	Address1: #, Street,  City, County, Town, Village, Prefecture, State, Zip/Postal Code, Country,  
•	Address2: #, Street,  City, County, Town, Village, Prefecture, State, Zip/Postal Code, Country,  
•	Phone1, Phone2, etc. 
•	Email1, Email2, etc.  
•	Manager1, Phone1, Email1
•	Manager2, Phone1, Email1
•	(Investigate other credential types / fields required per credential and type):</t>
  </si>
  <si>
    <t>Monthly download and distribution of the NYCE BIN Table to all ACS Cloud Enterprise Users.  Client ACS Cloud Enterprise software detects file update, authenticates and automatically downloads and optimizes the file, then schedules the initialization of the file into all designated ACS controllers.</t>
  </si>
  <si>
    <t>MMR 2.0 reader and ACS controller approved firmware version and serial number supervision</t>
  </si>
  <si>
    <t>ACS Enterprise software suite Silent Installer Cloud Automatic Instance Key Activation and Term Management</t>
  </si>
  <si>
    <t>Silent Installer with ACS Enterprise software license Cloud Key Validation</t>
  </si>
  <si>
    <t>ACS controller and MMR 2.0 reader and ACS controller and ACS Enterprise software TLS Communication and Data Encryption External System scheduled or on-demand key/cert generation and management (One-Time and Annual Pricing TBD)</t>
  </si>
  <si>
    <t>200-50060</t>
  </si>
  <si>
    <t>200-50061</t>
  </si>
  <si>
    <t>200-50044</t>
  </si>
  <si>
    <t>200-50048</t>
  </si>
  <si>
    <t>200-50051</t>
  </si>
  <si>
    <t>200-50054</t>
  </si>
  <si>
    <t>200-50055</t>
  </si>
  <si>
    <t>200-50056</t>
  </si>
  <si>
    <t>200-50057</t>
  </si>
  <si>
    <t>200-50058</t>
  </si>
  <si>
    <t>200-50059</t>
  </si>
  <si>
    <t>200-50062</t>
  </si>
  <si>
    <t>200-50063</t>
  </si>
  <si>
    <t>200-50064</t>
  </si>
  <si>
    <t>200-50066</t>
  </si>
  <si>
    <t>200-50067</t>
  </si>
  <si>
    <t>200-50068</t>
  </si>
  <si>
    <t>200-50069</t>
  </si>
  <si>
    <t>200-50070</t>
  </si>
  <si>
    <t>ACS Software</t>
  </si>
  <si>
    <t>ACS TLS 1.2/1.3 Encryption Annual Support Fee</t>
  </si>
  <si>
    <t>Annual Full Day Remote ACS Training ten (10) hours (Draw down in two (2) hour prescheduled increments</t>
  </si>
  <si>
    <t>Annual Remote Training ACS</t>
  </si>
  <si>
    <t>View, export and reports sites, hardware, configuration, events, credentials read, user functions executed, user/hardware configuration change logs and ACS controller and reader inventory</t>
  </si>
  <si>
    <t>Campus, Site, Floor, Controller, Entrance/Reader, User, Credential, Configuration, Diagnostics and Reports Module</t>
  </si>
  <si>
    <t>Controller/Reader Credential Enrollment Management Module</t>
  </si>
  <si>
    <t>ACS User Login Profile Management Module</t>
  </si>
  <si>
    <t>ACS Controller / User Territory Management Module</t>
  </si>
  <si>
    <t>Integration to External ACS Hardware / Software Certificate / Key software / system Module</t>
  </si>
  <si>
    <t>ACS system data cloud integration to 3rd party systems ACS Event Messages, Credentials and User Logs Module</t>
  </si>
  <si>
    <t>ACS system data non cloud integration / parser to 3rd party systems ACS Event Messages, Credentials and User Logs Module</t>
  </si>
  <si>
    <t>Email/Text EMR Notifier Service Module</t>
  </si>
  <si>
    <t>ACS controller Reader Remote Credential Lookup with Local learn Module</t>
  </si>
  <si>
    <t>ACS Enterprise NYCE BIN Table Import / Optimization Module</t>
  </si>
  <si>
    <t>KAL ATM Management Software Integration Module</t>
  </si>
  <si>
    <t>HR &amp; Time Attendance Credential Integration Module</t>
  </si>
  <si>
    <t>ACS Hardware and Facility Sensor Data Integration(s) Module</t>
  </si>
  <si>
    <t>ACS User Data changed / functions executed Activity Tracking Module</t>
  </si>
  <si>
    <t>ACS Hardware / Software availability monitoring Module</t>
  </si>
  <si>
    <t>ACS Hardware Configuration Discrepancy Supervision, Notification and Auto Correct Service Module</t>
  </si>
  <si>
    <t>Suspend distribution of Select or All Event Messages generated by ACS hardware and software Module</t>
  </si>
  <si>
    <t>ACS Job Scheduler Service Module</t>
  </si>
  <si>
    <t>AFH / Data Collection Service Module</t>
  </si>
  <si>
    <t>Remote ACS Hardware firmware updates Module</t>
  </si>
  <si>
    <t>Door / Entrance Supervision Configuration Module</t>
  </si>
  <si>
    <t>ACS Hardware Firmware Version Supervision Module</t>
  </si>
  <si>
    <t>ACS Data Retention / Archive Module</t>
  </si>
  <si>
    <t>Scheduled ACS Export / Report Distribution Module</t>
  </si>
  <si>
    <t>Duplicate Credential Read within ACS Ecosystem Supervision Module</t>
  </si>
  <si>
    <t>ACS Facility Supervision Module</t>
  </si>
  <si>
    <t>ACS Controller Software Integrations DB Ecosystem Supervision Module</t>
  </si>
  <si>
    <t>Reader Credentials Accepted and Rejected Supervision Module</t>
  </si>
  <si>
    <t>Quantity of Annual Primary Fail-Over Instance(s)</t>
  </si>
  <si>
    <t>ACS Enterprise Hardware Configuration UI</t>
  </si>
  <si>
    <t>ACS Enterprise Integrations</t>
  </si>
  <si>
    <t>ACS Enterprise Mass Programming and Data Collection/Receiving Services</t>
  </si>
  <si>
    <t>ACS Enterprise Hardware and Software System Supervision and Activity Logs</t>
  </si>
  <si>
    <t>Annual WolfSSl/TLS 1.2/1.3 Support Fees</t>
  </si>
  <si>
    <t>Annual and One-Time New ACS Enterprise Private Cloud/Parabit ACSaaS/On-Prem Software Features and Professional Services</t>
  </si>
  <si>
    <t xml:space="preserve">Annual ACS Cloud Enterprise Ecosystem, Hardware, Facility Sensors, Reader Monitoring UI features </t>
  </si>
  <si>
    <t xml:space="preserve">Collect/receive ACS hardware / software status Event Messages, Credential Events, User activity and writes stores them within the ACS SQL DB.  </t>
  </si>
  <si>
    <t>TLS 1.2/1.3 PCB</t>
  </si>
  <si>
    <t>ACS Hardware</t>
  </si>
  <si>
    <t>200-10115-PCBA</t>
  </si>
  <si>
    <t>ACS TLS 1.2/1.3 PCB</t>
  </si>
  <si>
    <t>Tier 11 - 2001 - 3000</t>
  </si>
  <si>
    <t>Tier 12 - 3001 - 5000</t>
  </si>
  <si>
    <t>Tier 10 - 1251 - 2000</t>
  </si>
  <si>
    <t>Tier 9 - 751 - 1250</t>
  </si>
  <si>
    <t>Tier 8 - 501 - 750</t>
  </si>
  <si>
    <t>Tier 7 - 351 - 500</t>
  </si>
  <si>
    <t>Tier 6 - 226 - 350</t>
  </si>
  <si>
    <t>Tier 5 - 101 - 225</t>
  </si>
  <si>
    <t>Tier 4 - 51 - 100</t>
  </si>
  <si>
    <t>Tier 3 - 26 - 50</t>
  </si>
  <si>
    <t>Tier 2 - 11 - 25</t>
  </si>
  <si>
    <t>Tier  - 1 - 10</t>
  </si>
  <si>
    <t>Remote 6/8 Digit BIN Lookup, Site Lock down and Site Open commands</t>
  </si>
  <si>
    <t>New ACS Private/Public Cloud and On-Prem Enterprise software suite Annual License Fees</t>
  </si>
  <si>
    <t>See detail price list for a breakdown of each line items pricing</t>
  </si>
  <si>
    <t>This proposal includes one Production and one Failover or Disaster Recovery Annual License</t>
  </si>
  <si>
    <t>Notes:</t>
  </si>
  <si>
    <t>All Annual Fees are due prior to each terms start</t>
  </si>
  <si>
    <t>Tier Name</t>
  </si>
  <si>
    <t>Annual Pricing</t>
  </si>
  <si>
    <t>% of Highest tier</t>
  </si>
  <si>
    <t>Category</t>
  </si>
  <si>
    <r>
      <t>E</t>
    </r>
    <r>
      <rPr>
        <b/>
        <i/>
        <sz val="8"/>
        <color theme="1"/>
        <rFont val="Calibri"/>
        <family val="2"/>
        <scheme val="minor"/>
      </rPr>
      <t>nter # of Instances per Tier</t>
    </r>
    <r>
      <rPr>
        <b/>
        <sz val="8"/>
        <color theme="1"/>
        <rFont val="Calibri"/>
        <family val="2"/>
        <scheme val="minor"/>
      </rPr>
      <t xml:space="preserve">  -  Quantity of Annual Primary Fail-Over Instance(s)</t>
    </r>
  </si>
  <si>
    <r>
      <rPr>
        <b/>
        <i/>
        <sz val="8"/>
        <color theme="1"/>
        <rFont val="Calibri"/>
        <family val="2"/>
        <scheme val="minor"/>
      </rPr>
      <t>Enter # of Instances per Tier</t>
    </r>
    <r>
      <rPr>
        <b/>
        <sz val="8"/>
        <color theme="1"/>
        <rFont val="Calibri"/>
        <family val="2"/>
        <scheme val="minor"/>
      </rPr>
      <t xml:space="preserve"> - Quantity of DR Instance(s)</t>
    </r>
  </si>
  <si>
    <r>
      <rPr>
        <b/>
        <i/>
        <sz val="8"/>
        <color theme="1"/>
        <rFont val="Calibri"/>
        <family val="2"/>
        <scheme val="minor"/>
      </rPr>
      <t>Enter # of Instances per Tier</t>
    </r>
    <r>
      <rPr>
        <b/>
        <sz val="8"/>
        <color theme="1"/>
        <rFont val="Calibri"/>
        <family val="2"/>
        <scheme val="minor"/>
      </rPr>
      <t xml:space="preserve"> - Quantity of DR Failover Instance(s)</t>
    </r>
  </si>
  <si>
    <t>Grand Total</t>
  </si>
  <si>
    <t>ACS Enterprise Hardware Configuration UI Total</t>
  </si>
  <si>
    <t>ACS Enterprise Integrations Total</t>
  </si>
  <si>
    <t>ACS Enterprise Hardware and Software System Supervision and Activity Logs Total</t>
  </si>
  <si>
    <t>ACS Enterprise Mass Programming and Data Collection/Receiving Services Total</t>
  </si>
  <si>
    <t>Annual ACS Cloud Enterprise Ecosystem, Hardware, Facility Sensors, Reader Monitoring UI features  Total</t>
  </si>
  <si>
    <t>YEAR-ACS-RTS</t>
  </si>
  <si>
    <t>Specific Criteria For the quote</t>
  </si>
  <si>
    <t>Total Quantity of Annual Fail-Over / DR Instance(s)</t>
  </si>
  <si>
    <t>Feature Type</t>
  </si>
  <si>
    <t>Required</t>
  </si>
  <si>
    <t>Optional</t>
  </si>
  <si>
    <t>Required. Choose Qty</t>
  </si>
  <si>
    <t>Quantity</t>
  </si>
  <si>
    <t>Required. Choose Qty of 10 hours slots</t>
  </si>
  <si>
    <t>10 hours</t>
  </si>
  <si>
    <t>Trip Charge</t>
  </si>
  <si>
    <t>On-Site/Remote Low Voltage/Mechanical Tech Weekday Business Hours</t>
  </si>
  <si>
    <t>Project Management</t>
  </si>
  <si>
    <t>1000-30052</t>
  </si>
  <si>
    <t>1000-20000</t>
  </si>
  <si>
    <t>1000-30045</t>
  </si>
  <si>
    <t>Required. Choose QTY</t>
  </si>
  <si>
    <t>Product Number</t>
  </si>
  <si>
    <t>UOM</t>
  </si>
  <si>
    <t>Quantity chosen here will appear in Detail Software Sheet (light blue cells)</t>
  </si>
  <si>
    <t>MSRP ea. / Tier Price</t>
  </si>
  <si>
    <t>Integrator Name</t>
  </si>
  <si>
    <t>End-User Name</t>
  </si>
  <si>
    <t>1000-30053</t>
  </si>
  <si>
    <t>1000-30054</t>
  </si>
  <si>
    <t>A &amp; M Systems LLC</t>
  </si>
  <si>
    <t>ABR Communications</t>
  </si>
  <si>
    <t>ACG World</t>
  </si>
  <si>
    <t>ADT Commercial LLC</t>
  </si>
  <si>
    <t>AFA Protective Systems, Inc</t>
  </si>
  <si>
    <t>Allvets Security Technologies</t>
  </si>
  <si>
    <t>Alpha Electronic Alarm</t>
  </si>
  <si>
    <t>Arista Security Control , Inc</t>
  </si>
  <si>
    <t>BankSecure Inc.</t>
  </si>
  <si>
    <t>Barricade Security LLC</t>
  </si>
  <si>
    <t>Birnie Electric Ltd</t>
  </si>
  <si>
    <t>Bligan &amp; Haas Holdings</t>
  </si>
  <si>
    <t>Cennox</t>
  </si>
  <si>
    <t>Christopher Bronner</t>
  </si>
  <si>
    <t>Convergint Technologies LLC</t>
  </si>
  <si>
    <t>Cook Security Group</t>
  </si>
  <si>
    <t>Desert Hills Fire &amp; Security</t>
  </si>
  <si>
    <t>DM Security</t>
  </si>
  <si>
    <t>dormakaba</t>
  </si>
  <si>
    <t>Entrance Controls</t>
  </si>
  <si>
    <t>Federal Protection, Inc</t>
  </si>
  <si>
    <t>Financial Technology Solutions INT INC</t>
  </si>
  <si>
    <t>Forge Security Systems, LLC</t>
  </si>
  <si>
    <t>Fox Den Productions</t>
  </si>
  <si>
    <t>Friece Electrical Service Inc.</t>
  </si>
  <si>
    <t>Hako Construction</t>
  </si>
  <si>
    <t>Hayden Systems, Inc.</t>
  </si>
  <si>
    <t>Hi Tech Security Plus</t>
  </si>
  <si>
    <t>Honor Security Inc.</t>
  </si>
  <si>
    <t>Hotline Security Services Inc</t>
  </si>
  <si>
    <t>INFOPOWER PC</t>
  </si>
  <si>
    <t>Ingevity</t>
  </si>
  <si>
    <t>Integrated Security Systems</t>
  </si>
  <si>
    <t>Interface Systems</t>
  </si>
  <si>
    <t>IPMAX SECURITY ALARM</t>
  </si>
  <si>
    <t>Johnson Controls Security Solutions</t>
  </si>
  <si>
    <t>K &amp; F Electric Company</t>
  </si>
  <si>
    <t>Ken Smith Inc.</t>
  </si>
  <si>
    <t>Konnects</t>
  </si>
  <si>
    <t>Koorsen Fire &amp; Security</t>
  </si>
  <si>
    <t>Martin Electric Inc.</t>
  </si>
  <si>
    <t>Materna</t>
  </si>
  <si>
    <t>MCM Integrated Systems</t>
  </si>
  <si>
    <t>Midco</t>
  </si>
  <si>
    <t>NAVCO Security Systems</t>
  </si>
  <si>
    <t>New Age Security Systems</t>
  </si>
  <si>
    <t>New Jersey Business Systems, Inc</t>
  </si>
  <si>
    <t>NSE - National Security Electronics</t>
  </si>
  <si>
    <t>Paramount Management Group</t>
  </si>
  <si>
    <t>PBS Services LLC</t>
  </si>
  <si>
    <t>Pieper Electric Inc</t>
  </si>
  <si>
    <t>Platinum Alarms &amp; Service, LLC</t>
  </si>
  <si>
    <t>Possible Productions</t>
  </si>
  <si>
    <t>Premier Security Group</t>
  </si>
  <si>
    <t>Pro Security Solutions</t>
  </si>
  <si>
    <t>Quality Installation Systems</t>
  </si>
  <si>
    <t>Redline Integration</t>
  </si>
  <si>
    <t>Retail Construction Services, Inc</t>
  </si>
  <si>
    <t>River City Bank Installers</t>
  </si>
  <si>
    <t>Royal Security, LLC</t>
  </si>
  <si>
    <t>Secom Security Integrators</t>
  </si>
  <si>
    <t>Securitas Technology Co.</t>
  </si>
  <si>
    <t>Security Integration Inc</t>
  </si>
  <si>
    <t>SI Technologies, Inc</t>
  </si>
  <si>
    <t>Sonitrol Nevada</t>
  </si>
  <si>
    <t>Sonitrol Security of Delaware Valley</t>
  </si>
  <si>
    <t>SpawGlass</t>
  </si>
  <si>
    <t>SPLAN Inc,</t>
  </si>
  <si>
    <t>Stanley Petersen -ABM</t>
  </si>
  <si>
    <t>Sterling Security Solutions LLC</t>
  </si>
  <si>
    <t>Stokit Supply Co Inc</t>
  </si>
  <si>
    <t>TDS (Time Data Security) Ltd.</t>
  </si>
  <si>
    <t>Technocality Inc</t>
  </si>
  <si>
    <t>The Security Center, Inc.</t>
  </si>
  <si>
    <t>TNT SECURITY, INC</t>
  </si>
  <si>
    <t>Tyco Integrated Security</t>
  </si>
  <si>
    <t>UTICA Contracting, Inc.</t>
  </si>
  <si>
    <t>Vector Security</t>
  </si>
  <si>
    <t>VTI Security Integrators</t>
  </si>
  <si>
    <t>Wittenbach Business Systems</t>
  </si>
  <si>
    <t>Assured Security Locksmith &amp; Hardware Co.</t>
  </si>
  <si>
    <t>ATS ALASKA</t>
  </si>
  <si>
    <t>Brownsville South Padre Island Airport</t>
  </si>
  <si>
    <t>Catalyst Communications Group</t>
  </si>
  <si>
    <t>Champion Group of Companies</t>
  </si>
  <si>
    <t>DH Pace Company, Inc.</t>
  </si>
  <si>
    <t>Diebold Nixdorf, Inc.</t>
  </si>
  <si>
    <t>Diversified Systems, Inc.</t>
  </si>
  <si>
    <t>GD Protection Systems Ltd</t>
  </si>
  <si>
    <t xml:space="preserve">Integrated Security Group </t>
  </si>
  <si>
    <t>JMG Security Systems</t>
  </si>
  <si>
    <t>NanoLumens</t>
  </si>
  <si>
    <t xml:space="preserve">Partitions Contracting </t>
  </si>
  <si>
    <t>Phoenix Integrated Inc</t>
  </si>
  <si>
    <t>Security Control Integrators, Inc.</t>
  </si>
  <si>
    <t>Sierra Group</t>
  </si>
  <si>
    <t>Signature Bank</t>
  </si>
  <si>
    <t>Smith Hamilton, Inc.</t>
  </si>
  <si>
    <t>STOPware, Inc.</t>
  </si>
  <si>
    <t>Surmotech LLC</t>
  </si>
  <si>
    <t>Technical Systems</t>
  </si>
  <si>
    <t>Teldata System Inc.</t>
  </si>
  <si>
    <t>Telestar Locksmiths*</t>
  </si>
  <si>
    <t>Turnkey Financial Equipment</t>
  </si>
  <si>
    <t>Will Electronics</t>
  </si>
  <si>
    <t>Alcatraz</t>
  </si>
  <si>
    <t>American Digital Security</t>
  </si>
  <si>
    <t>Building Intelligence Inc</t>
  </si>
  <si>
    <t>Cambria Design Build Ltd.</t>
  </si>
  <si>
    <t>EAI Security Systems Inc</t>
  </si>
  <si>
    <t>Huser Integrated Technologies</t>
  </si>
  <si>
    <t>International Security Expert Corp -ISEC</t>
  </si>
  <si>
    <t>iTech Las Vegas</t>
  </si>
  <si>
    <t>Mutual Security Services</t>
  </si>
  <si>
    <t>Newport Designs Corp</t>
  </si>
  <si>
    <t>OfficeScapes</t>
  </si>
  <si>
    <t>PBS Technologies</t>
  </si>
  <si>
    <t>Presidio</t>
  </si>
  <si>
    <t>Professional Telecommunications Services</t>
  </si>
  <si>
    <t>Protection Security Systems</t>
  </si>
  <si>
    <t>Scope Ltd Corp</t>
  </si>
  <si>
    <t>Security Pro System</t>
  </si>
  <si>
    <t>Southwest Security Solutions,LLC</t>
  </si>
  <si>
    <t>STS Group</t>
  </si>
  <si>
    <t>Tyco Integrated Fire &amp; Security Canada</t>
  </si>
  <si>
    <t>Access Management Solutions</t>
  </si>
  <si>
    <t>Alliance Data Services, LLC</t>
  </si>
  <si>
    <t>Allied Universal Technology Services</t>
  </si>
  <si>
    <t>Argus Electronic Security Systems</t>
  </si>
  <si>
    <t>Astound Group</t>
  </si>
  <si>
    <t>Axis Communications</t>
  </si>
  <si>
    <t>Boon Edam Inc</t>
  </si>
  <si>
    <t>BroadBand Communications Inc.</t>
  </si>
  <si>
    <t>Cayer Security</t>
  </si>
  <si>
    <t>Clear Channel Outdoor</t>
  </si>
  <si>
    <t>Da Midatlantic</t>
  </si>
  <si>
    <t>Digi Security Systems</t>
  </si>
  <si>
    <t>Eagle One Security Solutions LLC</t>
  </si>
  <si>
    <t>Everbase Solutions</t>
  </si>
  <si>
    <t>FEMAC Security Solutions</t>
  </si>
  <si>
    <t>Franklin Sports Inc.</t>
  </si>
  <si>
    <t>FSC Electric LLC.</t>
  </si>
  <si>
    <t>Hamilton Vaultronics</t>
  </si>
  <si>
    <t>Integrated Access Systems</t>
  </si>
  <si>
    <t>InterDev</t>
  </si>
  <si>
    <t>Intrutech Electronic Security</t>
  </si>
  <si>
    <t>Johnson Controls - Canada</t>
  </si>
  <si>
    <t>Liquid PC, LLC</t>
  </si>
  <si>
    <t>Martel System Integrators Inc.</t>
  </si>
  <si>
    <t>Martel System Intergrators Inc.</t>
  </si>
  <si>
    <t>Mathias</t>
  </si>
  <si>
    <t>Northeastern Security Systems</t>
  </si>
  <si>
    <t>Owl Services</t>
  </si>
  <si>
    <t>Pacific Computer Supply</t>
  </si>
  <si>
    <t>Pacific Technology CCTV</t>
  </si>
  <si>
    <t>Paladin Technologies</t>
  </si>
  <si>
    <t>Physical Security Partners Inc.</t>
  </si>
  <si>
    <t>Power Telecom and Security</t>
  </si>
  <si>
    <t>Red Hawk Security Systems:ADT Commercial</t>
  </si>
  <si>
    <t>Security 101</t>
  </si>
  <si>
    <t>Sensormatic Electronics, LLC</t>
  </si>
  <si>
    <t>Structure Works</t>
  </si>
  <si>
    <t>Tech Systems Inc.</t>
  </si>
  <si>
    <t>Trilogy Security Consulting</t>
  </si>
  <si>
    <t>Viscom Systems</t>
  </si>
  <si>
    <t>A3 Communications</t>
  </si>
  <si>
    <t>AAA Alarms &amp; Fire Protection</t>
  </si>
  <si>
    <t>AD Security</t>
  </si>
  <si>
    <t>American Alarm and Communications, Inc.</t>
  </si>
  <si>
    <t>Assurance Low Voltage Security</t>
  </si>
  <si>
    <t>Bailiwick</t>
  </si>
  <si>
    <t>Cen-Tex Financial Solutions</t>
  </si>
  <si>
    <t>Citizens Technology, Inc</t>
  </si>
  <si>
    <t>Electro Watchman</t>
  </si>
  <si>
    <t>Elite Fire &amp; Security</t>
  </si>
  <si>
    <t>FEDCorp Company</t>
  </si>
  <si>
    <t>FireTronics Partners</t>
  </si>
  <si>
    <t>Galaxy3</t>
  </si>
  <si>
    <t>Halt Security Services, LLC</t>
  </si>
  <si>
    <t>HPF Contractors</t>
  </si>
  <si>
    <t>Image One</t>
  </si>
  <si>
    <t>Industrial Technical Services, Inc.</t>
  </si>
  <si>
    <t>IONNA</t>
  </si>
  <si>
    <t>Jones Lang LaSalle Americas Inc.</t>
  </si>
  <si>
    <t>NGC ELECTRONICS, LLC</t>
  </si>
  <si>
    <t>Pye Barker</t>
  </si>
  <si>
    <t>Quality Service Installation (QSI)</t>
  </si>
  <si>
    <t>Richemont</t>
  </si>
  <si>
    <t>S2M Solutions LLC</t>
  </si>
  <si>
    <t>Security Control and Design</t>
  </si>
  <si>
    <t>Security Source Inc</t>
  </si>
  <si>
    <t>Sonitrol Southern Nevada</t>
  </si>
  <si>
    <t>SPLAN Inc</t>
  </si>
  <si>
    <t>Telaid</t>
  </si>
  <si>
    <t>United Bank</t>
  </si>
  <si>
    <t>Vanguard Fire &amp; Security Systems</t>
  </si>
  <si>
    <t>Vertriax Security Solutions</t>
  </si>
  <si>
    <t>Volta Systems Group</t>
  </si>
  <si>
    <t>Walker Security</t>
  </si>
  <si>
    <t>Wesco/ Anixter</t>
  </si>
  <si>
    <t>AGR Integration</t>
  </si>
  <si>
    <t>Arsenal Security LLC</t>
  </si>
  <si>
    <t>Bahamas Business Solutions Limited</t>
  </si>
  <si>
    <t>Ellsworth Systems</t>
  </si>
  <si>
    <t>Mutual Security Service</t>
  </si>
  <si>
    <t>Napperville Alarm</t>
  </si>
  <si>
    <t>Pelmac Industries Inc.</t>
  </si>
  <si>
    <t>Platinum Communications LLC</t>
  </si>
  <si>
    <t>Portland Safe, Inc.</t>
  </si>
  <si>
    <t>Pro-Tech Connections</t>
  </si>
  <si>
    <t>Texas Electronic Systems Specialist</t>
  </si>
  <si>
    <t>KeyBro Security Solutions Ltd.</t>
  </si>
  <si>
    <t>Galaxy Protection</t>
  </si>
  <si>
    <t>Premier Service and Installation</t>
  </si>
  <si>
    <t>ADT Commercial LLC dba Everon</t>
  </si>
  <si>
    <t>DSC Communications</t>
  </si>
  <si>
    <t>Minuteman Security and Life Safety</t>
  </si>
  <si>
    <t>Pavion</t>
  </si>
  <si>
    <t>Furniture Marketing Group, Inc. (FMG)</t>
  </si>
  <si>
    <t>LAXTEC</t>
  </si>
  <si>
    <t>Alliant Security</t>
  </si>
  <si>
    <t>Contral Security Corporation</t>
  </si>
  <si>
    <t>Hanwha</t>
  </si>
  <si>
    <t>Redwood Credit Union</t>
  </si>
  <si>
    <t>TKS Security</t>
  </si>
  <si>
    <t>Icon Office Environments</t>
  </si>
  <si>
    <t>Biztec</t>
  </si>
  <si>
    <t>Case Financial</t>
  </si>
  <si>
    <t>DGA Security</t>
  </si>
  <si>
    <t>MidWest Security Systems</t>
  </si>
  <si>
    <t>MOSS</t>
  </si>
  <si>
    <t>New York Security Solutions (NYSS)</t>
  </si>
  <si>
    <t>Office Interiors</t>
  </si>
  <si>
    <t>Rocky Mountain Electronic Security , LLC</t>
  </si>
  <si>
    <t>Wachter</t>
  </si>
  <si>
    <t>ArchKey Technologies</t>
  </si>
  <si>
    <t>Atlantic Automatic Control</t>
  </si>
  <si>
    <t>Casino Security Corp</t>
  </si>
  <si>
    <t>Madlock Security Services</t>
  </si>
  <si>
    <t>JCS Solutions</t>
  </si>
  <si>
    <t>D.Law</t>
  </si>
  <si>
    <t>Preferred Technologies, LLC</t>
  </si>
  <si>
    <t>Sivtech</t>
  </si>
  <si>
    <t>MQ2 Security</t>
  </si>
  <si>
    <t>Athena Technology Solutions</t>
  </si>
  <si>
    <t>Integrator</t>
  </si>
  <si>
    <t>Discount Rate</t>
  </si>
  <si>
    <t>BAHPCO Inc</t>
  </si>
  <si>
    <t>Parabit Systems, Inc.</t>
  </si>
  <si>
    <t>Tier</t>
  </si>
  <si>
    <t>Tier Min QTY</t>
  </si>
  <si>
    <t>Tier Max QTY</t>
  </si>
  <si>
    <t>Tier Rank</t>
  </si>
  <si>
    <t xml:space="preserve">Campus, Site, Floor, Controller, Entrance/Reader, User, Credential, Configuration, Diagnostics and Reports Module </t>
  </si>
  <si>
    <t>Part # on Proposal</t>
  </si>
  <si>
    <t>Total with Discount</t>
  </si>
  <si>
    <t xml:space="preserve">Controller/Reader Credential Enrollment Management Module </t>
  </si>
  <si>
    <t xml:space="preserve">KAL ATM Management Software Integration Module </t>
  </si>
  <si>
    <t xml:space="preserve">AFH / Data Collection Service Module </t>
  </si>
  <si>
    <t xml:space="preserve">Duplicate Credential Read within ACS Ecosystem Supervision Module </t>
  </si>
  <si>
    <t>200-50065</t>
  </si>
  <si>
    <t>Description</t>
  </si>
  <si>
    <t>Fishbowl Part Number based on Tier</t>
  </si>
  <si>
    <t>MSRP / Tier Price Primary Production Instances</t>
  </si>
  <si>
    <t>MRSP</t>
  </si>
  <si>
    <t>Tier Percentage Increment</t>
  </si>
  <si>
    <t>ABM Parking Services</t>
  </si>
  <si>
    <t>Apple Bank for Savings</t>
  </si>
  <si>
    <t>Bankpak</t>
  </si>
  <si>
    <t>BNB Bank, Sean Granholm</t>
  </si>
  <si>
    <t>Cincinnati Children's Hospital</t>
  </si>
  <si>
    <t>Clear Loss Prevention</t>
  </si>
  <si>
    <t>Columbus Construction, LLC</t>
  </si>
  <si>
    <t>Community Bank Of The Bay, Chaul</t>
  </si>
  <si>
    <t>Dime Community Bank</t>
  </si>
  <si>
    <t>Emigrant Savings Bank</t>
  </si>
  <si>
    <t>Firemen's Benevolent Ass.</t>
  </si>
  <si>
    <t>First National Bank of Long Island</t>
  </si>
  <si>
    <t>Flushing Bank</t>
  </si>
  <si>
    <t>Fremont Bank</t>
  </si>
  <si>
    <t>HSBC</t>
  </si>
  <si>
    <t>HSBC-NY-Buffalo</t>
  </si>
  <si>
    <t>HUNTINGTON BANK</t>
  </si>
  <si>
    <t>JC Decaux</t>
  </si>
  <si>
    <t>JP Morgan Chase Bank, NA</t>
  </si>
  <si>
    <t>Kearny Bank</t>
  </si>
  <si>
    <t>KEB Hana Bank USA</t>
  </si>
  <si>
    <t>Lawrence Memorial Hospital</t>
  </si>
  <si>
    <t>Lindner Center of Hope</t>
  </si>
  <si>
    <t>Maspeth Federal Savings</t>
  </si>
  <si>
    <t>Navcole</t>
  </si>
  <si>
    <t>Port Authority Of NY &amp; NJ</t>
  </si>
  <si>
    <t>Ridgewood Savings Bank</t>
  </si>
  <si>
    <t>South Nassau Communities Hospital</t>
  </si>
  <si>
    <t>Sterling National Bank</t>
  </si>
  <si>
    <t>Teachers Federal Credit Union</t>
  </si>
  <si>
    <t>Truist Bank - SunTrust</t>
  </si>
  <si>
    <t>Tucson Airport Authority</t>
  </si>
  <si>
    <t>Universal Health Services</t>
  </si>
  <si>
    <t>Usaa</t>
  </si>
  <si>
    <t>Village of Lake Bluff</t>
  </si>
  <si>
    <t>Wells Fargo</t>
  </si>
  <si>
    <t>ABM Taxi Dispatch</t>
  </si>
  <si>
    <t>Cindy L Lague, Community Nat'l B</t>
  </si>
  <si>
    <t>Conti Corporation</t>
  </si>
  <si>
    <t>Greater Nevada Credit Union</t>
  </si>
  <si>
    <t>Houston Airports System</t>
  </si>
  <si>
    <t>MUFG-Union Bank,</t>
  </si>
  <si>
    <t>Polish &amp; Slavic FCU</t>
  </si>
  <si>
    <t>SEFCU</t>
  </si>
  <si>
    <t>Solvay, Ryan Scofield</t>
  </si>
  <si>
    <t>SOUTH NASSAU HOSPITAL, MOUNT SINAI</t>
  </si>
  <si>
    <t>TEI Communications</t>
  </si>
  <si>
    <t>US Senate FCU</t>
  </si>
  <si>
    <t>Village of Glenview</t>
  </si>
  <si>
    <t>Actors Federal Credit Union</t>
  </si>
  <si>
    <t>ACU Credit Union</t>
  </si>
  <si>
    <t>British Columbia Ferry Services Inc</t>
  </si>
  <si>
    <t>Cedar Rapids Transit</t>
  </si>
  <si>
    <t>Citicorp North America</t>
  </si>
  <si>
    <t>Cushman &amp; Wakefield Inc</t>
  </si>
  <si>
    <t>Customized Service Concepts, LLC</t>
  </si>
  <si>
    <t>Diebold Nixdorf</t>
  </si>
  <si>
    <t>ERMC Aviation</t>
  </si>
  <si>
    <t>Honda of Toms River</t>
  </si>
  <si>
    <t>JFK International Air Terminal, LLC</t>
  </si>
  <si>
    <t>McCarran International Airport</t>
  </si>
  <si>
    <t>Metis Construction Service</t>
  </si>
  <si>
    <t>Minnesota Valley Transit Authority</t>
  </si>
  <si>
    <t>Rockwell Maintenance LLC</t>
  </si>
  <si>
    <t>San Francisco Federal Credit Union</t>
  </si>
  <si>
    <t>Apex Industries</t>
  </si>
  <si>
    <t>Charter Oak Federal Credit Union</t>
  </si>
  <si>
    <t>Citizens Bank</t>
  </si>
  <si>
    <t>Clune Construction</t>
  </si>
  <si>
    <t>Colorado Springs Airport</t>
  </si>
  <si>
    <t>DBSI Incorporated</t>
  </si>
  <si>
    <t>George Washington Univ Hospital</t>
  </si>
  <si>
    <t>Hanover Bank</t>
  </si>
  <si>
    <t>Harry Reid International Airport</t>
  </si>
  <si>
    <t>Mount Sinai South Nassau Hospital</t>
  </si>
  <si>
    <t>People First Federal Credit Union</t>
  </si>
  <si>
    <t>PNC Bank</t>
  </si>
  <si>
    <t>PORT OF SEATTLE</t>
  </si>
  <si>
    <t>SICE, INC.</t>
  </si>
  <si>
    <t>Three L Brothers Corp</t>
  </si>
  <si>
    <t>Webster Bank</t>
  </si>
  <si>
    <t>Whatcom Educational Credit Union</t>
  </si>
  <si>
    <t>Artery Lock</t>
  </si>
  <si>
    <t>Bank, Fidelity</t>
  </si>
  <si>
    <t>FourLeaf Credit Union</t>
  </si>
  <si>
    <t>Cencap Federal Credit Union, CEN</t>
  </si>
  <si>
    <t>Collins Aerospace</t>
  </si>
  <si>
    <t>Electra Megason</t>
  </si>
  <si>
    <t>Fidelity Bank</t>
  </si>
  <si>
    <t>Firetrol Protection Systems</t>
  </si>
  <si>
    <t>FSF Holdings</t>
  </si>
  <si>
    <t>Gerald R. Ford International Airport</t>
  </si>
  <si>
    <t>Habib American Bank - R. Qureshi</t>
  </si>
  <si>
    <t>Jovia Financial Credit Union</t>
  </si>
  <si>
    <t>Kansas City International Airport</t>
  </si>
  <si>
    <t>Limbach</t>
  </si>
  <si>
    <t>Los Angeles World Airports (LAWA)</t>
  </si>
  <si>
    <t>MBJ Airport</t>
  </si>
  <si>
    <t>Moscone Convention Center</t>
  </si>
  <si>
    <t>NYSS Corp</t>
  </si>
  <si>
    <t>Princess Juliana International Airport</t>
  </si>
  <si>
    <t>RCS International</t>
  </si>
  <si>
    <t>Savings FCU, Garden</t>
  </si>
  <si>
    <t>Southwest Airlines</t>
  </si>
  <si>
    <t>Southwest Florida International Airport</t>
  </si>
  <si>
    <t>United States Senate Federal Credit Union</t>
  </si>
  <si>
    <t>Washington Savings Bank</t>
  </si>
  <si>
    <t>Wayne County Airport Authority</t>
  </si>
  <si>
    <t>New Community Bank</t>
  </si>
  <si>
    <t>Chubb</t>
  </si>
  <si>
    <t>Heritage Financial Credit Union</t>
  </si>
  <si>
    <t>FirstOntario Credit Union</t>
  </si>
  <si>
    <t>MSUFCU</t>
  </si>
  <si>
    <t>Chartwell Hospitality</t>
  </si>
  <si>
    <t>Grupo Ginsatec</t>
  </si>
  <si>
    <t>City &amp; County of Denver</t>
  </si>
  <si>
    <t>End User Name</t>
  </si>
  <si>
    <t>Discount</t>
  </si>
  <si>
    <t>User Type</t>
  </si>
  <si>
    <t>Government</t>
  </si>
  <si>
    <t>Bank</t>
  </si>
  <si>
    <t>End User</t>
  </si>
  <si>
    <t>Hospital</t>
  </si>
  <si>
    <t>End-User</t>
  </si>
  <si>
    <t>Credit Union</t>
  </si>
  <si>
    <t>People's United Bank</t>
  </si>
  <si>
    <t>ConnectOne Bank</t>
  </si>
  <si>
    <t>Terminal One Management, Inc</t>
  </si>
  <si>
    <t>Schools First FCU</t>
  </si>
  <si>
    <t>Fitch Security Group</t>
  </si>
  <si>
    <t>SunTel Services</t>
  </si>
  <si>
    <t>Gold Coast Bank</t>
  </si>
  <si>
    <t>Capital One</t>
  </si>
  <si>
    <t>HSBC -USA</t>
  </si>
  <si>
    <t>Aviso (BVI) Ltd</t>
  </si>
  <si>
    <t>Canadian Card Systems Inc</t>
  </si>
  <si>
    <t>Maspeth Federal Savings Bank</t>
  </si>
  <si>
    <t>Orange</t>
  </si>
  <si>
    <t>Truist Bank</t>
  </si>
  <si>
    <t>Fulton Financial Corp.</t>
  </si>
  <si>
    <t>First Republic Bank</t>
  </si>
  <si>
    <t>PyroCom Systems</t>
  </si>
  <si>
    <t>KOA Technologies Inc.</t>
  </si>
  <si>
    <t>Advanced Fire Protection Systems, LLC</t>
  </si>
  <si>
    <t>GM Security Technologies</t>
  </si>
  <si>
    <t>Security Point Media</t>
  </si>
  <si>
    <t>SAGAM Electronics</t>
  </si>
  <si>
    <t>Allied Universal Technology Services, LLC</t>
  </si>
  <si>
    <t>City National Bank</t>
  </si>
  <si>
    <t>Flagstar Bank</t>
  </si>
  <si>
    <t>Community First Credit Union Of</t>
  </si>
  <si>
    <t>Peoples United Bank</t>
  </si>
  <si>
    <t>Santander Bank</t>
  </si>
  <si>
    <t>Signature Bank, Al Tandy</t>
  </si>
  <si>
    <t>Integrator Discount Rate</t>
  </si>
  <si>
    <t>End-User Discount Rate</t>
  </si>
  <si>
    <t>Discount %</t>
  </si>
  <si>
    <t>Annual Service Tier Level</t>
  </si>
  <si>
    <t>Quantity of Annual DR Instance(s)</t>
  </si>
  <si>
    <t>Quantity of Annual DR Failover Instance(s)</t>
  </si>
  <si>
    <t>Quantity of Annual Primary Production Instance(s)</t>
  </si>
  <si>
    <t>Instructions</t>
  </si>
  <si>
    <t>Annual Optional Software</t>
  </si>
  <si>
    <t>One-Time</t>
  </si>
  <si>
    <t>Annual</t>
  </si>
  <si>
    <t>Piraeus Bank</t>
  </si>
  <si>
    <t>One-Time if Parabit is the Installer</t>
  </si>
  <si>
    <t>Annual / Optional</t>
  </si>
  <si>
    <t>200-50007-NTS</t>
  </si>
  <si>
    <t>ACS Enterprise - Tech Software License - Annual Software Assurance</t>
  </si>
  <si>
    <t>Percentage of Production cost to use for Failover and DR Instance(s)</t>
  </si>
  <si>
    <t>Annual 24/7 ACS Enterprise software suite Telephone Support,  and Crypto Annual Support Fee</t>
  </si>
  <si>
    <t>One-Time Tech Software</t>
  </si>
  <si>
    <t>Integrator Discount %</t>
  </si>
  <si>
    <t>Integrator Tier Price</t>
  </si>
  <si>
    <t>MSRP Total</t>
  </si>
  <si>
    <t>Integrator Total</t>
  </si>
  <si>
    <t>ACS Enterprise software - Tech Software License - Annual Software Assurance</t>
  </si>
  <si>
    <t>Annual Tech Software</t>
  </si>
  <si>
    <t>ACS TLS 1.2/1.3 PCB Encryption Annual Support Fee</t>
  </si>
  <si>
    <t>ACS TLS 1.2/1.3 PCB Crypto Board</t>
  </si>
  <si>
    <t>Number Of Controllers</t>
  </si>
  <si>
    <t>Detail_Proposal_Tier 2-12 Match</t>
  </si>
  <si>
    <t>Detail_Proposal_Tier 1 Match</t>
  </si>
  <si>
    <t>Annual - Advanced Optional Micro Services</t>
  </si>
  <si>
    <t>One-Time Required Hardware and Installation Service and support</t>
  </si>
  <si>
    <t>Chosen Tier Min QTY of Controllers</t>
  </si>
  <si>
    <t>Chosen Tier Max QTY of Controllers</t>
  </si>
  <si>
    <t>Checking if Parts is included in Detail Proposal(s)</t>
  </si>
  <si>
    <t>Labor - Trip Charge - Non-Union - On-Site Tech Labor Standard Weekday Business Hours Travel / Service Rate (M-F 09:00-17:00)</t>
  </si>
  <si>
    <t>Labor - Non-Union - On-Site Tech Labor Standard Weekday Business Hours Travel / Service Rate (M-F 09:00-17:00) 1st Hour On-Site Minimum Invoice. Additional time invoiced in fifteen (15) minute increments</t>
  </si>
  <si>
    <t>Labor - Project Management - Weekday Business Hours (M-F 09:00-17:00)</t>
  </si>
  <si>
    <t>Included</t>
  </si>
  <si>
    <t>Annual Support and Encryption Fees</t>
  </si>
  <si>
    <t>QTY</t>
  </si>
  <si>
    <t>Bank of America</t>
  </si>
  <si>
    <t>Trip Charge, Installation and PM Labor</t>
  </si>
  <si>
    <t>200-50007-KT</t>
  </si>
  <si>
    <t>ACS Enterprise - Hardware - Controller Firmware Programmer  KIT - No license Provided.</t>
  </si>
  <si>
    <t>ACS Dongle  (200-50007), Cat5E Cable (600-10007), ACS-1E/1EUL DB9 Config Cable (200-10148), USB to Serial Adapter (700-30103), PICKit 5 Debugger Programmer (200-50007-Pickit5) and Cable (200-50007-CBL)</t>
  </si>
  <si>
    <t>Subtotal Annual Support, Encryption and Technician Software Fee</t>
  </si>
  <si>
    <t>Subtotal Annual ACS Cloud Enterprise Software</t>
  </si>
  <si>
    <t>Total Annual ACS Cloud Enterprise Software and Annual Support, Encryption, and Technician Software Fees</t>
  </si>
  <si>
    <t>Grand Total Annual and One Time Service</t>
  </si>
  <si>
    <t>One-Time Onsite Services</t>
  </si>
  <si>
    <t>One-Time New ACS Enterprise Private Cloud/Parabit ACSaaS/On-Prem Software Features and Professional Services</t>
  </si>
  <si>
    <t>Subtotal : One-Time New ACS Enterprise Private Cloud/Parabit ACSaaS/On-Prem Software Features and Professional Services</t>
  </si>
  <si>
    <t>Subtotal One-Time Onsite Services</t>
  </si>
  <si>
    <t>ACS Tech Hardware</t>
  </si>
  <si>
    <t>Total One-Time ACS Cloud TLS Software Installation, Training Services, Tech Hardware, ACS TLS PCB and Installation and Project Management Services</t>
  </si>
  <si>
    <t>Installation and Project Management Labor support for ACS TLS 1.2/1.3 Crypto PCB</t>
  </si>
  <si>
    <t>ACS TLS 1.2/1.3 Crypto PCB</t>
  </si>
  <si>
    <t>ACS OSDP TLS Enterprise software Installation Support</t>
  </si>
  <si>
    <t>Total Price</t>
  </si>
  <si>
    <t>MSRP / Tier Price Total</t>
  </si>
  <si>
    <t>Subtotal ACS OSDP TLS Enterprise/Tech software suite Annual License and Support Fees</t>
  </si>
  <si>
    <t>Annual Support, Encryption and Technician Software Fees</t>
  </si>
  <si>
    <t>Subtotal Annual Support, Encryption and Technician Software Fees</t>
  </si>
  <si>
    <t>Total Annual ACS OSDP TLS Enterprise software suite and Annual Support, Encryption, and Technician Software Fees</t>
  </si>
  <si>
    <t>ACS Tech Enterprise License Diagnostic/Programming Hardware</t>
  </si>
  <si>
    <t>One-Time ACS OSDP TLS Enterprise software Professional Services</t>
  </si>
  <si>
    <t>Total One-Time ACS OSDP TLS Enterprise software Professional Services</t>
  </si>
  <si>
    <t>Discount off this section pricing</t>
  </si>
  <si>
    <t>Discount off above pricing</t>
  </si>
  <si>
    <t>Business Description</t>
  </si>
  <si>
    <t>By Site by ACS Controller
Customer defined ID, Digital Serial #, Customer defined asset tag, Entrance location data (Address, Cross Streets, Contact, Phone, Email, etc., Time Zone/DST, I/O configuration, Overlay/RFID Skim Detection times, IP/Port, DNS, DHCP.
By Reader/Entrance:
Reader Serial #, PID, Weekly and Holiday schedule(s) assignment, Digital API Data Integration(s) settings, Entrance Door Release duration, Door Ajar detect time, Door opening excessively to Credentials read ratio, Customer Can't Enter/Exit sequential configuration, Reader Egress time, Exit/Entry Switch Egress time, Anti-Tailgating Active/Disabled, Physical Overlay/RFID Skimmer Detect Time, Reader and Lock state Inhibit Active/Disabled integration, Loitering, Single Access, Light Sensor, Last ATM Transaction Date/Time and 3rd party system configurations.</t>
  </si>
  <si>
    <t>ACS Cloud Enterprise gives operators and administrators a single, unified interface to configure every layer of their access control environment — from site addresses, time zones, and network settings down to individual reader behaviors, credential masks, and third-party integration parameters. Rather than juggling separate tools or on-site visits, teams can define and push the complete hardware profile of every controller and entrance from the cloud, ensuring every site is consistently configured, operationally ready, and aligned with organizational standards from day one.</t>
  </si>
  <si>
    <t>Administrators gain full lifecycle control over every system user — creating, editing, and deactivating accounts while assigning precise role-based access rights that determine exactly which ACS features and data each person can reach. By tying permissions directly to user profiles rather than managing them ad hoc, organizations eliminate over-privileged accounts, enforce the principle of least privilege, and maintain a clean, auditable record of who has access to what across the entire platform.</t>
  </si>
  <si>
    <t>For organizations already running Microsoft Active Directory, ACS Cloud Enterprise eliminates the need for a separate set of user credentials by enabling staff to log in using their existing AD accounts. Operators can search, assign, and manage AD users and groups directly within ACS — with access permissions updating automatically in real time whenever an AD account is modified or disabled — reducing administrative burden and closing the security gaps that come from manually maintained duplicate user lists.</t>
  </si>
  <si>
    <t>Configure reader type, access by Credential holder and by Access Schedule for MMR 2.0 reader Mag Stripe and NFC Card.</t>
  </si>
  <si>
    <t>Operators can configure every reader in the system — defining the credential types accepted (magnetic stripe, NFC, Bluetooth, biometric, and more), assigning the appropriate access schedules, and linking readers to specific user groups — all from a centralized interface without a site visit. This ensures that every entrance behaves exactly as intended, that the right people have access at the right times, and that configuration changes are applied instantly and consistently across all locations.</t>
  </si>
  <si>
    <t>Organizations can define precise credential matching rules for each reader or entrance — specifying exactly which credential types, card formats, and validation methods are required to gain access at any given point. Whether using standard match, bank credential fallback, external match validation, or protocol-based NFC matching, operators can tailor access logic per reader without firmware changes, giving security teams granular control over who gets through each door and under what conditions.</t>
  </si>
  <si>
    <t>Field technicians and operators can remotely test and query the real-time status of any ACS controller's I/O channels without traveling to the site, enabling rapid diagnosis of hardware issues, connection faults, and configuration mismatches from the cloud. This reduces costly site visits, shortens mean time to resolution, and ensures that technical teams have full visibility into device health before deploying maintenance resources.</t>
  </si>
  <si>
    <t>Operators can define weekly access schedules — specifying which credential is required, when an entrance is open to all, or when it is locked — and push those schedules remotely to any controller or group of controllers across the organization. This eliminates manual on-site programming for routine schedule updates, ensures schedules are applied consistently across all sites, and gives security teams the flexibility to respond to operational changes without delay.</t>
  </si>
  <si>
    <t>Manage and remotely configure credentials table/configuration accepted for NFC, Magnetic Stripe. Accepted Credentials, Admin Credentials, Financial Credential types and Exception tables and assign to reader(s)/entrance(s).</t>
  </si>
  <si>
    <t>Operators can create, import, edit, merge, and export credential lists — covering accepted credentials, administrative cards, financial credential types, and exception (suspect/reject) tables — and assign them directly to individual readers or push them across multiple sites simultaneously. By centralizing credential list management in the cloud, organizations avoid the risks of outdated lists on individual controllers and ensure that access decisions are always based on the most current and accurate credential data available.</t>
  </si>
  <si>
    <t>Operators and technicians can remotely activate and manage Maintenance Mode on any ACS controller, flagging all activity during that window so that alarms generated by maintenance work are clearly identified and not mistakenly escalated to monitoring centers. With configurable durations, automatic expiry, and real-time event tracking of who activated maintenance, when, and for how long, organizations maintain full operational accountability even during planned downtime.</t>
  </si>
  <si>
    <t>Administrators and operators can instantly unlock any entrance remotely for a defined duration — whether responding to an emergency, assisting a visitor, or supporting a maintenance request — without sending a technician to the site. The action is logged in the audit trail, automatically reversed after the configured time, and fully visible in real-time event monitoring, giving teams both the speed to respond and the traceability to stay compliant.</t>
  </si>
  <si>
    <t>When circumstances require a door to behave differently from its standard schedule — planned maintenance, emergency access, special events, or adverse weather — operators can remotely override the entrance state (open, access, or locked) for a defined date and time window without modifying the underlying schedule. The override clears automatically when the window expires, the original schedule resumes immediately, and the entire action is logged, ensuring operational flexibility never comes at the cost of security accountability.</t>
  </si>
  <si>
    <t>Administrators, operators, and auditors can view, filter, search a comprehensive set of reports spanning site activity, hardware status, configuration changes, credential events, and user actions — all from a single interface. Whether preparing for a compliance audit, investigating a security incident, or reviewing operational performance, teams can generate the exact data they need in seconds.</t>
  </si>
  <si>
    <t>ACS Cloud Enterprise enables any configured reader to enter a learn or enrollment mode, automatically capturing and storing a new credential when it is presented — eliminating the need to manually enter card numbers during onboarding. This accelerates the setup of new cardholders at large-scale deployments, reduces data entry errors, and gives operators a fast, reliable way to add credentials to the system directly from the physical reader.</t>
  </si>
  <si>
    <t>Administrators can create, edit, and deactivate ACS user accounts and assign each user precise function and data access rights that determine which modules, sites, and operations they can perform within the platform. With role-based permissions, automated lockout on permission changes, and a full audit trail of every modification, organizations maintain tight control over who can administer the system and ensure that access rights always reflect current responsibilities.</t>
  </si>
  <si>
    <t xml:space="preserve">ACS Cloud Enterprise secures all communications between controllers, Readers and the cloud using mutual TLS  —  which is the strongest encryption. This ensures credential data, control commands, and event messages are protected against interception and replay attacks. Certificates are stored in cloud key vaults with policy-controlled access and automated rotation, and all authentication activity is logged, giving organizations the cryptographic foundation needed to meet demanding security and compliance requirements.
 </t>
  </si>
  <si>
    <t>ACS Cloud Enterprise collects, parses, and categorizes every event message generated by ACS controllers — including credential reads, door events, alarms, health checks, and system actions — and routes them to the appropriate destinations in real time. Operators can configure exactly which message types are forwarded to internal databases, external monitoring platforms, or third-party systems, with full control over message priority, credential data masking, and failover queuing to ensure no critical event is lost even when downstream systems are temporarily unavailable.</t>
  </si>
  <si>
    <t>Organizations using non-cloud monitoring platforms such as MAStermind or similar systems can seamlessly receive ACS event messages through a configurable, authenticated integration that supports multiple server endpoints with automatic failover. Operators define server groups, set message criticality levels, and control credential data exposure in payloads, ensuring that third-party monitoring teams receive exactly the right alerts in real time — without manual intervention and without compromising sensitive cardholder data.</t>
  </si>
  <si>
    <t>Security teams, facility managers, and operations staff can receive instant email or SMS notifications for any ACS event classified as critical — delivered directly to configured user groups without requiring access to the monitoring platform. Operators define notification recipient lists, assign message criticality categories, and configure which alarms trigger immediate outreach, ensuring that the right people are alerted at the right time regardless of whether they are actively monitoring the system dashboard.</t>
  </si>
  <si>
    <t>Remote lookup of Accepted, Rejected and Suspect Credentials in ACS DB.</t>
  </si>
  <si>
    <t>When a credential is presented at a reader configured for external match validation, ACS Cloud Enterprise forwards the request to the Parabit Cloud Enterprise in real time, retrieves the allow or reject decision, and acts on it immediately . This enables organizations to maintain centralized, organization-wide credential authority in an external system (such as a financial institution's BIN database) while still leveraging the speed and resilience of local controller enforcement.</t>
  </si>
  <si>
    <t>ACS Cloud Enterprise automates the monthly download and distribution of the NYCE BIN table to all configured controllers across every enterprise site, ensuring that every reader has an up-to-date financial credential reference without requiring manual file transfers or on-site updates. This eliminates the operational risk of controllers running outdated BIN data, reduces the administrative overhead of managing credential table updates at scale, and ensures consistent access decisions across the entire estate.</t>
  </si>
  <si>
    <t>Operators can execute remote 6- or 8-digit BIN lookup queries against any controller and issue immediate site-wide lockdown or open commands from the cloud — giving security teams the ability to respond to threat events or operational emergencies in seconds without dispatching field personnel. All commands are authenticated, logged, and reversible, ensuring that emergency access control actions are both fast and fully accountable.</t>
  </si>
  <si>
    <t>ACS Cloud Enterprise can synchronize credential and access event data with external HR, time-and-attendance, payroll, and identity management systems — ensuring that access rights automatically reflect employment status, shift schedules, and organizational changes without requiring duplicate data entry across platforms. This integration eliminates the gaps between physical security and HR processes, reduces the risk of unauthorized access from stale credentials, and provides a unified view of who accessed what and when across interconnected enterprise systems.</t>
  </si>
  <si>
    <t>ACS Cloud Enterprise connects facility sensors and third-party hardware devices to the ACS controller ecosystem, enabling sensor-triggered events — such as light sensor readings, presence detection, or environmental alerts — to be captured, processed, and forwarded alongside standard access control events. This gives operators a unified operational picture that combines physical security with facility intelligence, supporting use cases from loitering detection and single-access enforcement to automated alarm responses tied to environmental conditions.</t>
  </si>
  <si>
    <t>Every action taken by an ACS user — from configuration changes and schedule updates to credential assignments and system logins — is automatically captured and stored in a structured activity log that records who did what, when, and from where. Administrators and auditors can search, filter, and export these logs at any time, providing the complete chain of accountability needed for internal audits, compliance reviews, and security investigations without relying on manual record-keeping.</t>
  </si>
  <si>
    <t>ACS Cloud Enterprise continuously monitors the heartbeat signals from every controller and MMR 2.0 reader in the network, detecting offline devices within a configurable threshold and triggering immediate alerts to the responsible team before the issue impacts operations. Administrators can set monitoring intervals, configure escalation rules, view real-time device status dashboards, and access detailed uptime and connectivity reports — transforming device health monitoring from a reactive, manual process into a proactive, automated capability.</t>
  </si>
  <si>
    <t>ACS Cloud Enterprise automatically compares the configuration stored in the cloud database against the actual configuration resident in each controller, flagging any discrepancies in schedules, credential lists, network settings, or device assignments before they cause operational failures or compliance gaps. When a mismatch is detected, the system notifies the responsible team and provides the context needed to resolve the discrepancy quickly — eliminating the silent configuration drift that can undermine security and audit readiness in large, distributed deployments.</t>
  </si>
  <si>
    <t>Operators can temporarily suspend the transmission of ACS event messages and integration configurations to specified external systems for a defined window — providing a controlled way to pause outbound data flows during maintenance, system updates, or planned downtime without losing the underlying event data. All suppression activity is logged, suppressed server lists are visible for audit review, and normal transmission resumes automatically when the suppression window closes, ensuring that operational maintenance never creates permanent gaps in the monitoring record.</t>
  </si>
  <si>
    <t>Administrators and operators can schedule automated jobs to push configuration updates, initialize access schedules, and manage credential lists across any number of controllers and sites at a defined date and time — eliminating the need for manual, site-by-site initialization during operational hours. Jobs can be configured for one-time, weekly, or monthly recurrence, scoped to individual sites or entire territories, and monitored in real time with automatic retry logic and failure alerts, making large-scale system updates manageable, predictable, and audit-ready.</t>
  </si>
  <si>
    <t>ACS Cloud Enterprise continuously collects and stores every event message and credential read event transmitted by ACS controllers in real time — covering access grants, rejections, alarms, device status updates, login events, and more — into a centralized, searchable audit trail. Operators can view, filter, and export this complete event history at any time, ensuring that the full record of what happened at every entrance, on every device, across every site is always available for security review, incident investigation, or compliance reporting.</t>
  </si>
  <si>
    <t>Administrators can remotely update the firmware of ACS controllers and MMR 2.0 readers across all sites without dispatching technicians — selecting the target firmware version, scoping the update to specific devices or territories, and scheduling execution during off-peak hours through the job scheduler. Firmware files go through an approval process before deployment, update progress is tracked in real time with automatic retry on failure, and all activity is logged — ensuring that every device in the estate stays current, secure, and operating on validated software.</t>
  </si>
  <si>
    <t>Operators can configure and enforce door behavior rules that detect when a door is left open beyond an acceptable time (Door Ajar) or opened too frequently relative to credential reads — triggering alerts before a minor door issue becomes a security or compliance concern. Threshold values are configurable per reader and per site, default settings can be applied organization-wide, and all configuration changes are logged with full traceability of who set what and when.</t>
  </si>
  <si>
    <t>ACS Cloud Enterprise maintains a live inventory of the approved firmware versions and serial numbers for every controller and reader in the estate, automatically flagging devices that are running outdated or unapproved firmware versions. This gives administrators a continuous, accurate view of firmware compliance across the entire device fleet, supports proactive update planning, and ensures that no device is overlooked during firmware rollouts — eliminating the audit risk of unknown or uncertified firmware running in a live security environment.</t>
  </si>
  <si>
    <t>ACS Cloud Enterprise enables administrators to define retention policies for all system data — including credential events, configuration history, user activity logs, and hardware records — with automatic archiving and purging that keeps storage costs under control while ensuring the organization meets its regulatory and compliance obligations. Archived data remains accessible during the retention window, all archiving activity is captured in a compliance audit log, and access to archived records is restricted to authorized personnel — giving organizations defensible data governance without manual data management overhead.</t>
  </si>
  <si>
    <t>Administrators can configure recurring scheduled exports of any ACS report — access event summaries, credential analytics, user activity logs, job results, or configuration histories — and have them automatically delivered by email to defined recipient groups on a daily, weekly, or monthly basis. This eliminates the manual effort of pulling and distributing reports, ensures that managers and auditors receive the information they need without logging into the system, and creates a consistent, documented cadence of operational and compliance reporting.</t>
  </si>
  <si>
    <t>ACS Cloud Enterprise monitors for instances where the same credential is read at multiple entrances within the same site in a timeframe that makes simultaneous physical presence impossible, automatically flagging potential credential cloning, sharing, or misuse before it escalates into a security incident. When a duplicate pattern is detected, the system generates an alert and logs the event for investigation, giving security teams the real-time intelligence they need to identify and respond to credential abuse across their entire access control estate.</t>
  </si>
  <si>
    <t>ACS Cloud Enterprise detects when the same credential is used at geographically distant locations within a time window that makes legitimate travel between them physically implausible — a strong indicator of credential cloning or sharing — and immediately alerts the security team for investigation. By continuously analyzing credential events across the full site network and correlating them by distance and timing, organizations gain a powerful, automated early-warning capability that human operators monitoring individual sites could never replicate at scale.</t>
  </si>
  <si>
    <t>ACS Cloud Enterprise monitors a rich set of facility sensor inputs — including light sensors, presence detection, loitering patterns, single-access violations, and door ajar conditions — turning raw hardware signals into actionable operational intelligence that security teams can act on in real time. Configurable thresholds, automated alerts, and event correlation with access control activity give operators a comprehensive picture of what is happening at every entrance and in every monitored space, enabling faster response to anomalies and stronger overall facility security posture.</t>
  </si>
  <si>
    <t>ACS Cloud Enterprise includes a dedicated ecosystem monitoring service that continuously tracks the health and availability of the platform's own infrastructure — including microservice status, database connectivity, network performance, and integration endpoints — providing administrators with centralized visibility into the operational integrity of the entire system. When a service component degrades or goes offline, the monitoring service triggers alerts, logs the incident, and supports capacity planning and automated remediation, ensuring that the platform responsible for physical security is itself subject to the same standards of reliability and oversight it enforces for the facilities it protects.</t>
  </si>
  <si>
    <t>Operators can manage the full credential data profile for each user — importing and exporting credential records via CSV, defining credential types accepted per user, and linking physical or virtual credentials to access rights — giving organizations a clean, importable, and auditable record of who holds which credential and what they can access. This streamlines onboarding, offboarding, and credential audits while reducing the manual effort and error risk of maintaining credential records outside the system.</t>
  </si>
  <si>
    <t>Remote lookup of Accepted, Rejected and Suspect Credentials stored on the ACS controller EEPROM with an until date/time for future local Credential lookups.</t>
  </si>
  <si>
    <t>When a credential is presented at a reader configured for external match validation, ACS Cloud Enterprise forwards the request to a designated external server in real time, retrieves the allow or reject decision, and acts on it immediately — with the response cached at the controller to maintain performance even during brief connectivity interruptions. This enables organizations to maintain centralized, organization-wide credential authority in an external system (such as a financial institution's BIN database) while still leveraging the speed and resilience of local controller enforcement.</t>
  </si>
  <si>
    <t>Configure reader type, access by Credential holder and by Access Schedule.  i.e., HID, Wave Lynx, Elactec, etc.  Prox and/or keypad reader, Bio Reader, Wearable Tech NFC, Mobile with NFC card, Bluetooth Local with Bluetooth Cloud, etc.</t>
  </si>
  <si>
    <t>Export &amp; Reporting</t>
  </si>
  <si>
    <t>Bulk Synchronisation ans Scheduling</t>
  </si>
  <si>
    <t>Clone &amp; Templates</t>
  </si>
  <si>
    <t>Merge Operations</t>
  </si>
  <si>
    <t>Advanced User Management</t>
  </si>
  <si>
    <t>Advanced Log Filtering</t>
  </si>
  <si>
    <t>Notification &amp; Alerts</t>
  </si>
  <si>
    <t>Feature Description</t>
  </si>
  <si>
    <t>Adds an Export action to data grids across the Site, Access Point, Login, and Log modules — Sites, Site Tags, Suspect Files, Match Files, User Management, Authorization Resources, Audit Logs, System Logs, Infrastructure Logs, Device Messages, Credential Events, Device Diagnostics Logs, and Service Diagnostics — producing a structured file of the currently displayed dataset.</t>
  </si>
  <si>
    <t>ACS Cloud Enterprise lets operators download any data grid in the system to a structured file for offline review, compliance reporting, or long-term archiving, without needing direct database access or a separate reporting tool. This turns every grid in the platform into a self-service reporting source, reducing the time security and compliance teams spend assembling audit packages or sharing data with auditors and regulators.</t>
  </si>
  <si>
    <t>Adds a Schedule Sync action to Access Point Mgmt configuration grids — Access Point Configuration, Match Configuration, Match File, Suspect File, AP IO Configuration, Controller IO Configuration, Weekly Schedule Management, Holiday Schedule Management, and Controller config-mismatch jobs — allowing a configuration push to be queued and applied automatically at a defined date/time rather than immediately.</t>
  </si>
  <si>
    <t>ACS Cloud Enterprise lets operators schedule configuration pushes to groups of devices for a future date and time instead of applying every change manually and immediately. This allows large rollouts — new schedules, credential lists, or controller settings — to be staged during a maintenance window and propagate automatically across many sites without an operator present at the time of the sync.</t>
  </si>
  <si>
    <t>Adds a Clone action to Access Point Mgmt and Login Mgmt configuration entities — Match Configuration, Match File, AP IO Configuration, Controller IO Configuration, Weekly Schedule Management, Holiday Schedule Management, and Authorization Resources — creating a duplicate of an existing configuration record that can be assigned to a new site, controller, or user as a starting point.</t>
  </si>
  <si>
    <t>ACS Cloud Enterprise lets operators copy an existing, already-tested configuration as a template instead of building every new site, controller, or access profile from scratch. This shortens rollout time for multi-site deployments and reduces configuration drift, since new entities start from a known-good baseline rather than manual re-entry.</t>
  </si>
  <si>
    <t>Adds a Merge action to the Access Point Mgmt Match File grid, combining two or more existing match files into a single consolidated file rather than requiring operators to manage them separately.</t>
  </si>
  <si>
    <t>ACS Cloud Enterprise lets operators consolidate multiple match file datasets — for example, lists built independently at different sites — into one unified file for centralized credential management. This removes the manual reconciliation work of comparing and merging credential lists by hand, reducing the risk of duplicate or conflicting entries across sites.</t>
  </si>
  <si>
    <t>Adds a Bulk Assign action to Authorization Resources, allowing an access profile to be applied to multiple users in a single operation, plus a View Profile Permissions screen that lists the full set of resource permissions granted to any role.</t>
  </si>
  <si>
    <t>ACS Cloud Enterprise lets administrators assign an access profile to many users at once instead of updating permissions one user at a time, and inspect exactly what any given role can see or do across the system. This speeds up onboarding for large teams and gives administrators a clear, auditable view of permission scope when responding to access reviews or compliance questions.</t>
  </si>
  <si>
    <t>Adds a Filter action to every Log Mgmt grid — Audit Logs, System Logs, Infrastructure Logs, Device Messages, Credential Events, Device Diagnostics Logs, and Service Diagnostics — enabling operators to narrow large result sets by field-level criteria such as date range, device, user, or event type.</t>
  </si>
  <si>
    <t>ACS Cloud Enterprise lets operators apply granular filters to log and event grids to pinpoint specific records across datasets that can span millions of rows, instead of scrolling through unfiltered results. This significantly reduces the time spent during incident investigations, audits, and troubleshooting, where finding the relevant handful of events quickly is critical.</t>
  </si>
  <si>
    <t>Adds Notification Preference, Notification Group, and Scheduler Notification Preference screens to Job Scheduler, allowing operators to define recipient groups and enable or disable email alerts for scheduled job outcomes and system events.</t>
  </si>
  <si>
    <t>ACS Cloud Enterprise lets operators configure who receives email notifications for scheduled job events and system alerts, and group recipients so the right team is notified automatically when something needs attention. This keeps administrators and stakeholders informed of job successes, failures, and system conditions without requiring them to actively monitor the platform.</t>
  </si>
  <si>
    <t>200-50071</t>
  </si>
  <si>
    <t>200-50072</t>
  </si>
  <si>
    <t>200-50073</t>
  </si>
  <si>
    <t>200-50074</t>
  </si>
  <si>
    <t>200-50075</t>
  </si>
  <si>
    <t>200-50076</t>
  </si>
  <si>
    <t>200-50077</t>
  </si>
  <si>
    <t>200-50078</t>
  </si>
  <si>
    <t>200-50079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</si>
</sst>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7" formatCode="&quot;$&quot;#,##0.00_);\(&quot;$&quot;#,##0.00\)"/>
    <numFmt numFmtId="44" formatCode="_(&quot;$&quot;* #,##0.00_);_(&quot;$&quot;* \(#,##0.00\);_(&quot;$&quot;* &quot;-&quot;??_);_(@_)"/>
    <numFmt numFmtId="43" formatCode="_(* #,##0.00_);_(* \(#,##0.00\);_(* &quot;-&quot;??_);_(@_)"/>
    <numFmt numFmtId="164" formatCode="&quot;$&quot;#,##0.00"/>
    <numFmt numFmtId="165" formatCode="_(* #,##0_);_(* \(#,##0\);_(* &quot;-&quot;??_);_(@_)"/>
  </numFmts>
  <fonts count="21" x14ac:knownFonts="1">
    <font>
      <sz val="11"/>
      <color theme="1"/>
      <name val="Calibri"/>
      <family val="2"/>
      <scheme val="minor"/>
    </font>
    <font>
      <sz val="8"/>
      <color theme="1"/>
      <name val="Calibri"/>
      <family val="2"/>
      <scheme val="minor"/>
    </font>
    <font>
      <b/>
      <sz val="8"/>
      <color theme="1"/>
      <name val="Calibri"/>
      <family val="2"/>
      <scheme val="minor"/>
    </font>
    <font>
      <sz val="11"/>
      <color theme="1"/>
      <name val="Calibri"/>
      <family val="2"/>
      <scheme val="minor"/>
    </font>
    <font>
      <sz val="12"/>
      <color theme="1"/>
      <name val="Calibri"/>
      <family val="2"/>
      <scheme val="minor"/>
    </font>
    <font>
      <sz val="8"/>
      <color rgb="FF000000"/>
      <name val="Calibri"/>
      <family val="2"/>
    </font>
    <font>
      <sz val="8"/>
      <name val="Calibri"/>
      <family val="2"/>
      <scheme val="minor"/>
    </font>
    <font>
      <sz val="8"/>
      <color theme="1"/>
      <name val="Calibri Light"/>
      <family val="2"/>
      <scheme val="major"/>
    </font>
    <font>
      <b/>
      <sz val="8"/>
      <name val="Calibri"/>
      <family val="2"/>
      <scheme val="minor"/>
    </font>
    <font>
      <b/>
      <sz val="11"/>
      <color theme="1"/>
      <name val="Calibri"/>
      <family val="2"/>
      <scheme val="minor"/>
    </font>
    <font>
      <b/>
      <i/>
      <sz val="8"/>
      <color theme="1"/>
      <name val="Calibri"/>
      <family val="2"/>
      <scheme val="minor"/>
    </font>
    <font>
      <b/>
      <sz val="12"/>
      <color theme="1"/>
      <name val="Calibri"/>
      <family val="2"/>
      <scheme val="minor"/>
    </font>
    <font>
      <b/>
      <sz val="9"/>
      <color theme="1"/>
      <name val="Calibri"/>
      <family val="2"/>
      <scheme val="minor"/>
    </font>
    <font>
      <b/>
      <sz val="10"/>
      <color theme="1"/>
      <name val="Calibri"/>
      <family val="2"/>
      <scheme val="minor"/>
    </font>
    <font>
      <sz val="14"/>
      <color theme="1"/>
      <name val="Calibri"/>
      <family val="2"/>
      <scheme val="minor"/>
    </font>
    <font>
      <i/>
      <sz val="10"/>
      <color theme="1"/>
      <name val="Calibri"/>
      <family val="2"/>
      <scheme val="minor"/>
    </font>
    <font>
      <b/>
      <sz val="14"/>
      <color theme="1"/>
      <name val="Calibri"/>
      <family val="2"/>
      <scheme val="minor"/>
    </font>
    <font>
      <sz val="8"/>
      <color rgb="FF323232"/>
      <name val="Arial"/>
      <family val="2"/>
    </font>
    <font>
      <b/>
      <sz val="8"/>
      <color rgb="FF323232"/>
      <name val="Arial"/>
      <family val="2"/>
    </font>
    <font>
      <i/>
      <sz val="11"/>
      <color theme="1"/>
      <name val="Calibri"/>
      <family val="2"/>
      <scheme val="minor"/>
    </font>
    <font>
      <b/>
      <i/>
      <sz val="11"/>
      <color theme="1"/>
      <name val="Calibri"/>
      <family val="2"/>
      <scheme val="minor"/>
    </font>
  </fonts>
  <fills count="15">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5" tint="0.39997558519241921"/>
        <bgColor indexed="64"/>
      </patternFill>
    </fill>
    <fill>
      <patternFill patternType="solid">
        <fgColor rgb="FF00B0F0"/>
        <bgColor indexed="64"/>
      </patternFill>
    </fill>
    <fill>
      <patternFill patternType="solid">
        <fgColor theme="7" tint="0.79998168889431442"/>
        <bgColor indexed="64"/>
      </patternFill>
    </fill>
    <fill>
      <patternFill patternType="solid">
        <fgColor theme="3"/>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8" tint="0.59999389629810485"/>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s>
  <cellStyleXfs count="4">
    <xf numFmtId="0" fontId="0" fillId="0" borderId="0"/>
    <xf numFmtId="44" fontId="3" fillId="0" borderId="0" applyFont="0" applyFill="0" applyBorder="0" applyAlignment="0" applyProtection="0"/>
    <xf numFmtId="9" fontId="3" fillId="0" borderId="0" applyFont="0" applyFill="0" applyBorder="0" applyAlignment="0" applyProtection="0"/>
    <xf numFmtId="43" fontId="3" fillId="0" borderId="0" applyFont="0" applyFill="0" applyBorder="0" applyAlignment="0" applyProtection="0"/>
  </cellStyleXfs>
  <cellXfs count="263">
    <xf numFmtId="0" fontId="0" fillId="0" borderId="0" xfId="0"/>
    <xf numFmtId="0" fontId="1" fillId="0" borderId="0" xfId="0" applyFont="1" applyAlignment="1">
      <alignment vertical="center"/>
    </xf>
    <xf numFmtId="0" fontId="1" fillId="2" borderId="1" xfId="0" applyFont="1" applyFill="1" applyBorder="1" applyAlignment="1">
      <alignment horizontal="center" vertical="center"/>
    </xf>
    <xf numFmtId="164" fontId="1" fillId="2" borderId="1" xfId="0" applyNumberFormat="1" applyFont="1" applyFill="1" applyBorder="1" applyAlignment="1">
      <alignment horizontal="right" vertical="center"/>
    </xf>
    <xf numFmtId="0" fontId="1" fillId="2" borderId="0" xfId="0" applyFont="1" applyFill="1" applyAlignment="1">
      <alignment vertical="center"/>
    </xf>
    <xf numFmtId="0" fontId="1" fillId="2"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1" fillId="0" borderId="0" xfId="0" applyFont="1" applyAlignment="1">
      <alignment vertical="center" wrapText="1"/>
    </xf>
    <xf numFmtId="0" fontId="1" fillId="0" borderId="0" xfId="0" applyFont="1" applyAlignment="1">
      <alignment horizontal="center" vertical="center"/>
    </xf>
    <xf numFmtId="0" fontId="1" fillId="0" borderId="1" xfId="0" applyFont="1" applyBorder="1" applyAlignment="1">
      <alignment horizontal="center" vertical="center"/>
    </xf>
    <xf numFmtId="0" fontId="1" fillId="2" borderId="1" xfId="0" applyFont="1" applyFill="1" applyBorder="1" applyAlignment="1">
      <alignment vertical="center" wrapText="1"/>
    </xf>
    <xf numFmtId="1" fontId="1" fillId="0" borderId="1" xfId="0" applyNumberFormat="1" applyFont="1" applyBorder="1" applyAlignment="1">
      <alignment horizontal="center" vertical="center"/>
    </xf>
    <xf numFmtId="0" fontId="1" fillId="2" borderId="4" xfId="0" applyFont="1" applyFill="1" applyBorder="1" applyAlignment="1">
      <alignment horizontal="center" vertical="center" wrapText="1"/>
    </xf>
    <xf numFmtId="0" fontId="5" fillId="0" borderId="1" xfId="0" applyFont="1" applyBorder="1" applyAlignment="1">
      <alignment vertical="center" wrapText="1"/>
    </xf>
    <xf numFmtId="0" fontId="1" fillId="2" borderId="4" xfId="0" applyFont="1" applyFill="1" applyBorder="1" applyAlignment="1">
      <alignment vertical="center" wrapText="1"/>
    </xf>
    <xf numFmtId="0" fontId="2" fillId="0" borderId="1" xfId="0" applyFont="1" applyBorder="1" applyAlignment="1">
      <alignment horizontal="center" vertical="center" wrapText="1"/>
    </xf>
    <xf numFmtId="0" fontId="7" fillId="2" borderId="1" xfId="0" applyFont="1" applyFill="1" applyBorder="1" applyAlignment="1">
      <alignment horizontal="center" vertical="center"/>
    </xf>
    <xf numFmtId="164" fontId="2" fillId="0" borderId="1" xfId="0" applyNumberFormat="1" applyFont="1" applyBorder="1" applyAlignment="1">
      <alignment horizontal="right" vertical="center" wrapText="1"/>
    </xf>
    <xf numFmtId="0" fontId="1" fillId="3" borderId="1" xfId="0" applyFont="1" applyFill="1" applyBorder="1" applyAlignment="1">
      <alignment vertical="center" wrapText="1"/>
    </xf>
    <xf numFmtId="1" fontId="2" fillId="0" borderId="1" xfId="0" applyNumberFormat="1" applyFont="1" applyBorder="1" applyAlignment="1">
      <alignment horizontal="center" vertical="center" wrapText="1"/>
    </xf>
    <xf numFmtId="164" fontId="1" fillId="3" borderId="1" xfId="0" applyNumberFormat="1" applyFont="1" applyFill="1" applyBorder="1" applyAlignment="1">
      <alignment horizontal="right" vertical="center" wrapText="1"/>
    </xf>
    <xf numFmtId="0" fontId="8" fillId="3" borderId="1" xfId="0" applyFont="1" applyFill="1" applyBorder="1" applyAlignment="1">
      <alignment vertical="center" wrapText="1"/>
    </xf>
    <xf numFmtId="0" fontId="6" fillId="3" borderId="1" xfId="0" applyFont="1" applyFill="1" applyBorder="1" applyAlignment="1">
      <alignment vertical="center" wrapText="1"/>
    </xf>
    <xf numFmtId="164" fontId="6" fillId="3" borderId="1" xfId="0" applyNumberFormat="1" applyFont="1" applyFill="1" applyBorder="1" applyAlignment="1">
      <alignment horizontal="right" vertical="center" wrapText="1"/>
    </xf>
    <xf numFmtId="9" fontId="6" fillId="3" borderId="1" xfId="2" applyFont="1" applyFill="1" applyBorder="1" applyAlignment="1">
      <alignment horizontal="right" vertical="center" wrapText="1"/>
    </xf>
    <xf numFmtId="0" fontId="2" fillId="0" borderId="0" xfId="0" applyFont="1" applyAlignment="1">
      <alignment vertical="center"/>
    </xf>
    <xf numFmtId="0" fontId="1" fillId="0" borderId="0" xfId="0" applyFont="1" applyAlignment="1">
      <alignment horizontal="left" vertical="center"/>
    </xf>
    <xf numFmtId="44" fontId="0" fillId="0" borderId="0" xfId="1" applyFont="1"/>
    <xf numFmtId="0" fontId="0" fillId="0" borderId="0" xfId="0" applyAlignment="1">
      <alignment wrapText="1"/>
    </xf>
    <xf numFmtId="0" fontId="1" fillId="5" borderId="1" xfId="0" applyFont="1" applyFill="1" applyBorder="1" applyAlignment="1" applyProtection="1">
      <alignment horizontal="center" vertical="center" wrapText="1"/>
      <protection locked="0"/>
    </xf>
    <xf numFmtId="0" fontId="1" fillId="0" borderId="0" xfId="0" applyFont="1" applyAlignment="1" applyProtection="1">
      <alignment vertical="center"/>
      <protection locked="0"/>
    </xf>
    <xf numFmtId="0" fontId="1" fillId="0" borderId="0" xfId="0" applyFont="1" applyAlignment="1" applyProtection="1">
      <alignment horizontal="center" vertical="center"/>
      <protection locked="0"/>
    </xf>
    <xf numFmtId="0" fontId="1" fillId="0" borderId="0" xfId="0" applyFont="1" applyAlignment="1" applyProtection="1">
      <alignment vertical="center" wrapText="1"/>
      <protection locked="0"/>
    </xf>
    <xf numFmtId="0" fontId="2" fillId="2" borderId="1" xfId="0" applyFont="1" applyFill="1" applyBorder="1" applyAlignment="1" applyProtection="1">
      <alignment horizontal="center" vertical="center" wrapText="1"/>
      <protection locked="0"/>
    </xf>
    <xf numFmtId="0" fontId="1" fillId="3" borderId="1" xfId="0" applyFont="1" applyFill="1" applyBorder="1" applyAlignment="1" applyProtection="1">
      <alignment vertical="center" wrapText="1"/>
      <protection locked="0"/>
    </xf>
    <xf numFmtId="0" fontId="6" fillId="3" borderId="1" xfId="0" applyFont="1" applyFill="1" applyBorder="1" applyAlignment="1" applyProtection="1">
      <alignment vertical="center"/>
      <protection locked="0"/>
    </xf>
    <xf numFmtId="0" fontId="6" fillId="3" borderId="1" xfId="0" applyFont="1" applyFill="1" applyBorder="1" applyAlignment="1" applyProtection="1">
      <alignment vertical="center" wrapText="1"/>
      <protection locked="0"/>
    </xf>
    <xf numFmtId="9" fontId="0" fillId="0" borderId="0" xfId="1" applyNumberFormat="1" applyFont="1"/>
    <xf numFmtId="44" fontId="0" fillId="5" borderId="0" xfId="1" applyFont="1" applyFill="1" applyProtection="1">
      <protection locked="0"/>
    </xf>
    <xf numFmtId="9" fontId="0" fillId="5" borderId="0" xfId="2" applyFont="1" applyFill="1" applyProtection="1">
      <protection locked="0"/>
    </xf>
    <xf numFmtId="0" fontId="1" fillId="0" borderId="1" xfId="0" applyFont="1" applyBorder="1" applyAlignment="1">
      <alignment horizontal="center" vertical="center" wrapText="1"/>
    </xf>
    <xf numFmtId="0" fontId="1" fillId="2" borderId="1" xfId="0" applyFont="1" applyFill="1" applyBorder="1" applyAlignment="1" applyProtection="1">
      <alignment horizontal="left" vertical="center" wrapText="1" indent="1"/>
      <protection locked="0"/>
    </xf>
    <xf numFmtId="0" fontId="1" fillId="0" borderId="1" xfId="0" applyFont="1" applyBorder="1" applyAlignment="1" applyProtection="1">
      <alignment horizontal="left" vertical="center" wrapText="1" indent="1"/>
      <protection locked="0"/>
    </xf>
    <xf numFmtId="0" fontId="0" fillId="0" borderId="1" xfId="0" applyBorder="1"/>
    <xf numFmtId="0" fontId="14" fillId="0" borderId="1" xfId="0" applyFont="1" applyBorder="1"/>
    <xf numFmtId="0" fontId="14" fillId="5" borderId="1" xfId="0" applyFont="1" applyFill="1" applyBorder="1" applyAlignment="1" applyProtection="1">
      <alignment horizontal="center"/>
      <protection locked="0"/>
    </xf>
    <xf numFmtId="0" fontId="15" fillId="0" borderId="1" xfId="0" applyFont="1" applyBorder="1" applyAlignment="1">
      <alignment wrapText="1"/>
    </xf>
    <xf numFmtId="0" fontId="14" fillId="7" borderId="1" xfId="0" applyFont="1" applyFill="1" applyBorder="1"/>
    <xf numFmtId="0" fontId="14" fillId="7" borderId="1" xfId="0" applyFont="1" applyFill="1" applyBorder="1" applyAlignment="1" applyProtection="1">
      <alignment horizontal="center"/>
      <protection locked="0"/>
    </xf>
    <xf numFmtId="0" fontId="0" fillId="7" borderId="1" xfId="0" applyFill="1" applyBorder="1"/>
    <xf numFmtId="0" fontId="15" fillId="7" borderId="1" xfId="0" applyFont="1" applyFill="1" applyBorder="1" applyAlignment="1">
      <alignment wrapText="1"/>
    </xf>
    <xf numFmtId="164" fontId="1" fillId="0" borderId="1" xfId="0" applyNumberFormat="1" applyFont="1" applyBorder="1" applyAlignment="1">
      <alignment horizontal="right" vertical="center"/>
    </xf>
    <xf numFmtId="0" fontId="1" fillId="8" borderId="1" xfId="0" applyFont="1" applyFill="1" applyBorder="1" applyAlignment="1" applyProtection="1">
      <alignment horizontal="center" vertical="center"/>
      <protection locked="0"/>
    </xf>
    <xf numFmtId="0" fontId="1" fillId="10" borderId="1" xfId="0" applyFont="1" applyFill="1" applyBorder="1" applyAlignment="1" applyProtection="1">
      <alignment horizontal="center" vertical="center"/>
      <protection locked="0"/>
    </xf>
    <xf numFmtId="9" fontId="1" fillId="10" borderId="1" xfId="2" applyFont="1" applyFill="1" applyBorder="1" applyAlignment="1" applyProtection="1">
      <alignment horizontal="center" vertical="center"/>
      <protection locked="0"/>
    </xf>
    <xf numFmtId="0" fontId="0" fillId="0" borderId="1" xfId="0" applyBorder="1" applyAlignment="1">
      <alignment wrapText="1"/>
    </xf>
    <xf numFmtId="0" fontId="14" fillId="8" borderId="1" xfId="0" applyFont="1" applyFill="1" applyBorder="1" applyAlignment="1" applyProtection="1">
      <alignment horizontal="center" vertical="center"/>
      <protection locked="0"/>
    </xf>
    <xf numFmtId="0" fontId="0" fillId="0" borderId="1" xfId="0" applyBorder="1" applyAlignment="1">
      <alignment horizontal="center" vertical="center"/>
    </xf>
    <xf numFmtId="0" fontId="0" fillId="0" borderId="0" xfId="0" applyProtection="1">
      <protection locked="0"/>
    </xf>
    <xf numFmtId="0" fontId="14" fillId="6" borderId="1" xfId="0" applyFont="1" applyFill="1" applyBorder="1" applyAlignment="1" applyProtection="1">
      <alignment horizontal="center"/>
      <protection locked="0"/>
    </xf>
    <xf numFmtId="0" fontId="1" fillId="9" borderId="1" xfId="0" applyFont="1" applyFill="1" applyBorder="1" applyAlignment="1" applyProtection="1">
      <alignment horizontal="center" vertical="center"/>
      <protection locked="0"/>
    </xf>
    <xf numFmtId="0" fontId="14" fillId="0" borderId="0" xfId="0" applyFont="1"/>
    <xf numFmtId="9" fontId="2" fillId="0" borderId="1" xfId="0" applyNumberFormat="1" applyFont="1" applyBorder="1" applyAlignment="1">
      <alignment horizontal="center" vertical="center" wrapText="1"/>
    </xf>
    <xf numFmtId="49" fontId="17" fillId="0" borderId="0" xfId="0" applyNumberFormat="1" applyFont="1" applyProtection="1">
      <protection locked="0"/>
    </xf>
    <xf numFmtId="10" fontId="0" fillId="0" borderId="0" xfId="2" applyNumberFormat="1" applyFont="1" applyProtection="1">
      <protection locked="0"/>
    </xf>
    <xf numFmtId="44" fontId="0" fillId="0" borderId="0" xfId="1" applyFont="1" applyProtection="1"/>
    <xf numFmtId="0" fontId="0" fillId="0" borderId="0" xfId="0" applyAlignment="1">
      <alignment horizontal="center"/>
    </xf>
    <xf numFmtId="44" fontId="0" fillId="0" borderId="1" xfId="1" applyFont="1" applyBorder="1" applyProtection="1"/>
    <xf numFmtId="9" fontId="14" fillId="0" borderId="1" xfId="2" applyFont="1" applyFill="1" applyBorder="1" applyAlignment="1">
      <alignment horizontal="center"/>
    </xf>
    <xf numFmtId="0" fontId="14" fillId="0" borderId="1" xfId="0" applyFont="1" applyBorder="1" applyAlignment="1">
      <alignment horizontal="center"/>
    </xf>
    <xf numFmtId="0" fontId="0" fillId="0" borderId="1" xfId="0" applyBorder="1" applyAlignment="1">
      <alignment horizontal="center"/>
    </xf>
    <xf numFmtId="0" fontId="9" fillId="11" borderId="1" xfId="0" applyFont="1" applyFill="1" applyBorder="1"/>
    <xf numFmtId="0" fontId="9" fillId="11" borderId="1" xfId="0" applyFont="1" applyFill="1" applyBorder="1" applyAlignment="1">
      <alignment horizontal="center"/>
    </xf>
    <xf numFmtId="0" fontId="9" fillId="11" borderId="1" xfId="0" applyFont="1" applyFill="1" applyBorder="1" applyAlignment="1">
      <alignment wrapText="1"/>
    </xf>
    <xf numFmtId="0" fontId="16" fillId="11" borderId="1" xfId="0" applyFont="1" applyFill="1" applyBorder="1" applyAlignment="1">
      <alignment horizontal="center"/>
    </xf>
    <xf numFmtId="0" fontId="9" fillId="11" borderId="1" xfId="0" applyFont="1" applyFill="1" applyBorder="1" applyAlignment="1">
      <alignment horizontal="center" wrapText="1"/>
    </xf>
    <xf numFmtId="0" fontId="15" fillId="11" borderId="1" xfId="0" applyFont="1" applyFill="1" applyBorder="1" applyAlignment="1">
      <alignment wrapText="1"/>
    </xf>
    <xf numFmtId="0" fontId="0" fillId="11" borderId="0" xfId="0" applyFill="1"/>
    <xf numFmtId="0" fontId="11" fillId="11" borderId="1" xfId="0" applyFont="1" applyFill="1" applyBorder="1" applyAlignment="1" applyProtection="1">
      <alignment horizontal="center" vertical="center"/>
      <protection locked="0"/>
    </xf>
    <xf numFmtId="0" fontId="11" fillId="11" borderId="1" xfId="0" applyFont="1" applyFill="1" applyBorder="1" applyAlignment="1" applyProtection="1">
      <alignment horizontal="center" vertical="center" wrapText="1"/>
      <protection locked="0"/>
    </xf>
    <xf numFmtId="0" fontId="2" fillId="11" borderId="1" xfId="0" applyFont="1" applyFill="1" applyBorder="1" applyAlignment="1">
      <alignment horizontal="center" vertical="center" wrapText="1"/>
    </xf>
    <xf numFmtId="0" fontId="2" fillId="11" borderId="1" xfId="0" applyFont="1" applyFill="1" applyBorder="1" applyAlignment="1">
      <alignment horizontal="center" vertical="center"/>
    </xf>
    <xf numFmtId="0" fontId="2" fillId="11" borderId="1" xfId="0" applyFont="1" applyFill="1" applyBorder="1" applyAlignment="1" applyProtection="1">
      <alignment horizontal="center" vertical="center" wrapText="1"/>
      <protection locked="0"/>
    </xf>
    <xf numFmtId="0" fontId="1" fillId="11" borderId="0" xfId="0" applyFont="1" applyFill="1" applyAlignment="1">
      <alignment vertical="center"/>
    </xf>
    <xf numFmtId="164" fontId="2" fillId="11" borderId="1" xfId="0" applyNumberFormat="1" applyFont="1" applyFill="1" applyBorder="1" applyAlignment="1">
      <alignment horizontal="center" vertical="center" wrapText="1"/>
    </xf>
    <xf numFmtId="0" fontId="2" fillId="11" borderId="1" xfId="0" applyFont="1" applyFill="1" applyBorder="1" applyAlignment="1">
      <alignment vertical="center" wrapText="1"/>
    </xf>
    <xf numFmtId="0" fontId="0" fillId="0" borderId="0" xfId="0" applyAlignment="1">
      <alignment horizontal="right"/>
    </xf>
    <xf numFmtId="0" fontId="9" fillId="11" borderId="0" xfId="0" applyFont="1" applyFill="1" applyAlignment="1">
      <alignment wrapText="1"/>
    </xf>
    <xf numFmtId="44" fontId="9" fillId="11" borderId="0" xfId="1" applyFont="1" applyFill="1" applyAlignment="1">
      <alignment wrapText="1"/>
    </xf>
    <xf numFmtId="44" fontId="2" fillId="11" borderId="0" xfId="1" applyFont="1" applyFill="1" applyAlignment="1">
      <alignment wrapText="1"/>
    </xf>
    <xf numFmtId="0" fontId="0" fillId="11" borderId="0" xfId="0" applyFill="1" applyAlignment="1">
      <alignment wrapText="1"/>
    </xf>
    <xf numFmtId="0" fontId="9" fillId="11" borderId="0" xfId="0" applyFont="1" applyFill="1"/>
    <xf numFmtId="44" fontId="9" fillId="11" borderId="0" xfId="1" applyFont="1" applyFill="1"/>
    <xf numFmtId="44" fontId="9" fillId="11" borderId="1" xfId="1" applyFont="1" applyFill="1" applyBorder="1" applyAlignment="1" applyProtection="1">
      <alignment horizontal="center" wrapText="1"/>
    </xf>
    <xf numFmtId="49" fontId="18" fillId="11" borderId="0" xfId="0" applyNumberFormat="1" applyFont="1" applyFill="1" applyProtection="1">
      <protection locked="0"/>
    </xf>
    <xf numFmtId="10" fontId="9" fillId="11" borderId="0" xfId="2" applyNumberFormat="1" applyFont="1" applyFill="1" applyProtection="1">
      <protection locked="0"/>
    </xf>
    <xf numFmtId="10" fontId="0" fillId="0" borderId="1" xfId="2" applyNumberFormat="1" applyFont="1" applyBorder="1" applyProtection="1"/>
    <xf numFmtId="0" fontId="8" fillId="4" borderId="1" xfId="0" applyFont="1" applyFill="1" applyBorder="1" applyAlignment="1" applyProtection="1">
      <alignment horizontal="right" vertical="center" wrapText="1"/>
      <protection locked="0"/>
    </xf>
    <xf numFmtId="165" fontId="1" fillId="2" borderId="1" xfId="3" applyNumberFormat="1" applyFont="1" applyFill="1" applyBorder="1" applyAlignment="1">
      <alignment horizontal="center" vertical="center"/>
    </xf>
    <xf numFmtId="0" fontId="1" fillId="0" borderId="1" xfId="0" applyFont="1" applyBorder="1" applyAlignment="1" applyProtection="1">
      <alignment horizontal="center" vertical="center"/>
      <protection locked="0"/>
    </xf>
    <xf numFmtId="0" fontId="0" fillId="0" borderId="7" xfId="0" applyBorder="1"/>
    <xf numFmtId="0" fontId="0" fillId="0" borderId="2" xfId="0" applyBorder="1"/>
    <xf numFmtId="9" fontId="14" fillId="5" borderId="1" xfId="2" applyFont="1" applyFill="1" applyBorder="1" applyAlignment="1" applyProtection="1">
      <alignment horizontal="center"/>
      <protection locked="0"/>
    </xf>
    <xf numFmtId="4" fontId="2" fillId="0" borderId="1" xfId="0" applyNumberFormat="1" applyFont="1" applyBorder="1" applyAlignment="1">
      <alignment horizontal="right" vertical="center" wrapText="1"/>
    </xf>
    <xf numFmtId="4" fontId="6" fillId="3" borderId="1" xfId="0" applyNumberFormat="1" applyFont="1" applyFill="1" applyBorder="1" applyAlignment="1">
      <alignment horizontal="right" vertical="center" wrapText="1"/>
    </xf>
    <xf numFmtId="4" fontId="1" fillId="0" borderId="0" xfId="0" applyNumberFormat="1" applyFont="1" applyAlignment="1" applyProtection="1">
      <alignment vertical="center" wrapText="1"/>
      <protection locked="0"/>
    </xf>
    <xf numFmtId="4" fontId="1" fillId="0" borderId="0" xfId="0" applyNumberFormat="1" applyFont="1" applyAlignment="1">
      <alignment vertical="center" wrapText="1"/>
    </xf>
    <xf numFmtId="164" fontId="1" fillId="3" borderId="1" xfId="0" applyNumberFormat="1" applyFont="1" applyFill="1" applyBorder="1" applyAlignment="1">
      <alignment vertical="center" wrapText="1"/>
    </xf>
    <xf numFmtId="164" fontId="2" fillId="11" borderId="1" xfId="0" applyNumberFormat="1" applyFont="1" applyFill="1" applyBorder="1" applyAlignment="1">
      <alignment vertical="center" wrapText="1"/>
    </xf>
    <xf numFmtId="164" fontId="1" fillId="0" borderId="1" xfId="1" applyNumberFormat="1" applyFont="1" applyBorder="1" applyAlignment="1">
      <alignment vertical="center"/>
    </xf>
    <xf numFmtId="164" fontId="2" fillId="0" borderId="1" xfId="0" applyNumberFormat="1" applyFont="1" applyBorder="1" applyAlignment="1">
      <alignment vertical="center" wrapText="1"/>
    </xf>
    <xf numFmtId="164" fontId="1" fillId="0" borderId="0" xfId="0" applyNumberFormat="1" applyFont="1" applyAlignment="1">
      <alignment horizontal="center" vertical="center"/>
    </xf>
    <xf numFmtId="164" fontId="1" fillId="2" borderId="1" xfId="1" applyNumberFormat="1" applyFont="1" applyFill="1" applyBorder="1" applyAlignment="1">
      <alignment horizontal="center" vertical="center"/>
    </xf>
    <xf numFmtId="0" fontId="2" fillId="11" borderId="1" xfId="0" applyFont="1" applyFill="1" applyBorder="1" applyAlignment="1">
      <alignment horizontal="right" vertical="center" wrapText="1"/>
    </xf>
    <xf numFmtId="164" fontId="1" fillId="0" borderId="1" xfId="1" applyNumberFormat="1" applyFont="1" applyBorder="1" applyAlignment="1">
      <alignment horizontal="right" vertical="center"/>
    </xf>
    <xf numFmtId="0" fontId="1" fillId="0" borderId="0" xfId="0" applyFont="1" applyAlignment="1" applyProtection="1">
      <alignment horizontal="right" vertical="center" wrapText="1"/>
      <protection locked="0"/>
    </xf>
    <xf numFmtId="0" fontId="1" fillId="0" borderId="0" xfId="0" applyFont="1" applyAlignment="1">
      <alignment horizontal="right" vertical="center" wrapText="1"/>
    </xf>
    <xf numFmtId="1" fontId="2" fillId="0" borderId="1" xfId="0" applyNumberFormat="1" applyFont="1" applyBorder="1" applyAlignment="1">
      <alignment horizontal="right" vertical="center" wrapText="1"/>
    </xf>
    <xf numFmtId="0" fontId="13" fillId="0" borderId="0" xfId="0" applyFont="1" applyAlignment="1">
      <alignment horizontal="center" vertical="center"/>
    </xf>
    <xf numFmtId="0" fontId="12" fillId="0" borderId="0" xfId="0" applyFont="1" applyAlignment="1" applyProtection="1">
      <alignment horizontal="center" vertical="center" wrapText="1"/>
      <protection locked="0"/>
    </xf>
    <xf numFmtId="0" fontId="4" fillId="0" borderId="1" xfId="0" applyFont="1" applyBorder="1" applyAlignment="1" applyProtection="1">
      <alignment horizontal="left" vertical="center" wrapText="1"/>
      <protection locked="0"/>
    </xf>
    <xf numFmtId="0" fontId="4" fillId="0" borderId="1" xfId="0" applyFont="1" applyBorder="1" applyAlignment="1" applyProtection="1">
      <alignment horizontal="left" vertical="center"/>
      <protection locked="0"/>
    </xf>
    <xf numFmtId="0" fontId="4" fillId="0" borderId="0" xfId="0" applyFont="1" applyProtection="1">
      <protection locked="0"/>
    </xf>
    <xf numFmtId="0" fontId="4" fillId="0" borderId="0" xfId="0" applyFont="1" applyAlignment="1" applyProtection="1">
      <alignment vertical="center" wrapText="1"/>
      <protection locked="0"/>
    </xf>
    <xf numFmtId="0" fontId="1" fillId="0" borderId="1" xfId="0" applyFont="1" applyBorder="1" applyAlignment="1">
      <alignment vertical="center" wrapText="1"/>
    </xf>
    <xf numFmtId="0" fontId="2" fillId="0" borderId="1" xfId="0" applyFont="1" applyBorder="1" applyAlignment="1" applyProtection="1">
      <alignment horizontal="center" vertical="center"/>
      <protection locked="0"/>
    </xf>
    <xf numFmtId="164" fontId="2" fillId="0" borderId="1" xfId="0" applyNumberFormat="1" applyFont="1" applyBorder="1" applyAlignment="1">
      <alignment horizontal="right" vertical="center"/>
    </xf>
    <xf numFmtId="1" fontId="2" fillId="0" borderId="1" xfId="0" applyNumberFormat="1" applyFont="1" applyBorder="1" applyAlignment="1">
      <alignment horizontal="center" vertical="center"/>
    </xf>
    <xf numFmtId="0" fontId="1" fillId="0" borderId="4" xfId="0" applyFont="1" applyBorder="1" applyAlignment="1">
      <alignment vertical="center" wrapText="1"/>
    </xf>
    <xf numFmtId="0" fontId="1" fillId="0" borderId="4" xfId="0" applyFont="1" applyBorder="1" applyAlignment="1">
      <alignment horizontal="center" vertical="center" wrapText="1"/>
    </xf>
    <xf numFmtId="0" fontId="19" fillId="12" borderId="1" xfId="0" applyFont="1" applyFill="1" applyBorder="1"/>
    <xf numFmtId="0" fontId="20" fillId="0" borderId="0" xfId="0" applyFont="1"/>
    <xf numFmtId="0" fontId="19" fillId="0" borderId="0" xfId="0" applyFont="1"/>
    <xf numFmtId="0" fontId="0" fillId="0" borderId="1" xfId="0" applyBorder="1" applyAlignment="1">
      <alignment vertical="center" wrapText="1"/>
    </xf>
    <xf numFmtId="0" fontId="0" fillId="0" borderId="0" xfId="0" applyAlignment="1">
      <alignment horizontal="left" indent="3"/>
    </xf>
    <xf numFmtId="0" fontId="1" fillId="0" borderId="0" xfId="0" applyFont="1" applyAlignment="1">
      <alignment horizontal="center" vertical="center" wrapText="1"/>
    </xf>
    <xf numFmtId="0" fontId="1" fillId="0" borderId="7" xfId="0" applyFont="1" applyBorder="1" applyAlignment="1" applyProtection="1">
      <alignment horizontal="center" vertical="center" wrapText="1"/>
      <protection locked="0"/>
    </xf>
    <xf numFmtId="0" fontId="1" fillId="0" borderId="2" xfId="0" applyFont="1" applyBorder="1" applyAlignment="1" applyProtection="1">
      <alignment horizontal="center" vertical="center" wrapText="1"/>
      <protection locked="0"/>
    </xf>
    <xf numFmtId="0" fontId="1" fillId="0" borderId="5" xfId="0" applyFont="1" applyBorder="1" applyAlignment="1" applyProtection="1">
      <alignment horizontal="left" vertical="center" wrapText="1"/>
      <protection locked="0"/>
    </xf>
    <xf numFmtId="0" fontId="1" fillId="0" borderId="7" xfId="0" applyFont="1" applyBorder="1" applyAlignment="1" applyProtection="1">
      <alignment horizontal="left" vertical="center" wrapText="1"/>
      <protection locked="0"/>
    </xf>
    <xf numFmtId="0" fontId="1" fillId="0" borderId="2" xfId="0" applyFont="1" applyBorder="1" applyAlignment="1" applyProtection="1">
      <alignment horizontal="left" vertical="center" wrapText="1"/>
      <protection locked="0"/>
    </xf>
    <xf numFmtId="0" fontId="0" fillId="7" borderId="1" xfId="0" applyFill="1" applyBorder="1" applyAlignment="1">
      <alignment horizontal="center"/>
    </xf>
    <xf numFmtId="0" fontId="0" fillId="0" borderId="7" xfId="0" applyBorder="1" applyAlignment="1">
      <alignment horizontal="center"/>
    </xf>
    <xf numFmtId="0" fontId="14" fillId="5" borderId="5" xfId="0" applyFont="1" applyFill="1" applyBorder="1" applyAlignment="1" applyProtection="1">
      <alignment horizontal="left"/>
      <protection locked="0"/>
    </xf>
    <xf numFmtId="0" fontId="1" fillId="2" borderId="0" xfId="0" applyFont="1" applyFill="1" applyAlignment="1">
      <alignment horizontal="center" vertical="center"/>
    </xf>
    <xf numFmtId="0" fontId="1" fillId="2" borderId="0" xfId="0" applyFont="1" applyFill="1" applyAlignment="1">
      <alignment vertical="center" wrapText="1"/>
    </xf>
    <xf numFmtId="0" fontId="5"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pplyProtection="1">
      <alignment horizontal="center" vertical="center"/>
      <protection locked="0"/>
    </xf>
    <xf numFmtId="164" fontId="2" fillId="0" borderId="0" xfId="0" applyNumberFormat="1" applyFont="1" applyAlignment="1">
      <alignment horizontal="right" vertical="center"/>
    </xf>
    <xf numFmtId="1" fontId="2" fillId="0" borderId="0" xfId="0" applyNumberFormat="1" applyFont="1" applyAlignment="1">
      <alignment horizontal="center" vertical="center"/>
    </xf>
    <xf numFmtId="0" fontId="14" fillId="0" borderId="1" xfId="0" applyFont="1" applyBorder="1" applyAlignment="1">
      <alignment horizontal="center" vertical="center"/>
    </xf>
    <xf numFmtId="7" fontId="1" fillId="2" borderId="1" xfId="1" applyNumberFormat="1" applyFont="1" applyFill="1" applyBorder="1" applyAlignment="1">
      <alignment horizontal="center" vertical="center"/>
    </xf>
    <xf numFmtId="0" fontId="1" fillId="0" borderId="5" xfId="0" applyFont="1" applyBorder="1" applyAlignment="1" applyProtection="1">
      <alignment horizontal="left" vertical="center"/>
      <protection locked="0"/>
    </xf>
    <xf numFmtId="0" fontId="1" fillId="0" borderId="7"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1" fillId="0" borderId="7" xfId="0" applyFont="1" applyBorder="1" applyAlignment="1" applyProtection="1">
      <alignment horizontal="left" vertical="center"/>
      <protection locked="0"/>
    </xf>
    <xf numFmtId="0" fontId="1" fillId="0" borderId="2" xfId="0" applyFont="1" applyBorder="1" applyAlignment="1" applyProtection="1">
      <alignment horizontal="left" vertical="center"/>
      <protection locked="0"/>
    </xf>
    <xf numFmtId="0" fontId="1" fillId="11" borderId="1" xfId="0" applyFont="1" applyFill="1" applyBorder="1" applyAlignment="1">
      <alignment vertical="center"/>
    </xf>
    <xf numFmtId="0" fontId="14" fillId="0" borderId="1" xfId="0" applyFont="1" applyBorder="1" applyAlignment="1" applyProtection="1">
      <alignment horizontal="center"/>
      <protection locked="0"/>
    </xf>
    <xf numFmtId="0" fontId="0" fillId="0" borderId="1" xfId="0" applyBorder="1" applyAlignment="1" applyProtection="1">
      <alignment horizontal="center"/>
      <protection locked="0"/>
    </xf>
    <xf numFmtId="0" fontId="9" fillId="11" borderId="1" xfId="0" applyFont="1" applyFill="1" applyBorder="1" applyAlignment="1" applyProtection="1">
      <alignment horizontal="center"/>
      <protection locked="0"/>
    </xf>
    <xf numFmtId="0" fontId="0" fillId="0" borderId="1" xfId="0" applyBorder="1" applyAlignment="1" applyProtection="1">
      <alignment horizontal="center" vertical="center"/>
      <protection locked="0"/>
    </xf>
    <xf numFmtId="44" fontId="0" fillId="0" borderId="0" xfId="1" applyFont="1" applyFill="1" applyProtection="1">
      <protection locked="0"/>
    </xf>
    <xf numFmtId="44" fontId="0" fillId="0" borderId="0" xfId="1" applyFont="1" applyFill="1"/>
    <xf numFmtId="9" fontId="14" fillId="0" borderId="1" xfId="2" applyFont="1" applyFill="1" applyBorder="1" applyAlignment="1" applyProtection="1">
      <alignment horizontal="center"/>
      <protection locked="0"/>
    </xf>
    <xf numFmtId="164" fontId="2" fillId="12" borderId="1" xfId="0" applyNumberFormat="1" applyFont="1" applyFill="1" applyBorder="1" applyAlignment="1">
      <alignment vertical="center"/>
    </xf>
    <xf numFmtId="164" fontId="2" fillId="8" borderId="1" xfId="0" applyNumberFormat="1" applyFont="1" applyFill="1" applyBorder="1" applyAlignment="1">
      <alignment vertical="center"/>
    </xf>
    <xf numFmtId="0" fontId="7" fillId="2" borderId="0" xfId="0" applyFont="1" applyFill="1" applyAlignment="1">
      <alignment horizontal="center" vertical="center"/>
    </xf>
    <xf numFmtId="0" fontId="2" fillId="8" borderId="1" xfId="0" applyFont="1" applyFill="1" applyBorder="1" applyAlignment="1">
      <alignment horizontal="right" vertical="center"/>
    </xf>
    <xf numFmtId="7" fontId="1" fillId="8" borderId="5" xfId="1" applyNumberFormat="1" applyFont="1" applyFill="1" applyBorder="1" applyAlignment="1">
      <alignment horizontal="center" vertical="center"/>
    </xf>
    <xf numFmtId="9" fontId="1" fillId="8" borderId="7" xfId="2" applyFont="1" applyFill="1" applyBorder="1" applyAlignment="1" applyProtection="1">
      <alignment horizontal="center" vertical="center"/>
      <protection locked="0"/>
    </xf>
    <xf numFmtId="164" fontId="1" fillId="8" borderId="7" xfId="1" applyNumberFormat="1" applyFont="1" applyFill="1" applyBorder="1" applyAlignment="1">
      <alignment horizontal="center" vertical="center"/>
    </xf>
    <xf numFmtId="0" fontId="1" fillId="8" borderId="5" xfId="0" applyFont="1" applyFill="1" applyBorder="1" applyAlignment="1">
      <alignment vertical="center" wrapText="1"/>
    </xf>
    <xf numFmtId="0" fontId="1" fillId="8" borderId="7" xfId="0" applyFont="1" applyFill="1" applyBorder="1" applyAlignment="1">
      <alignment vertical="center" wrapText="1"/>
    </xf>
    <xf numFmtId="0" fontId="1" fillId="8" borderId="7" xfId="0" applyFont="1" applyFill="1" applyBorder="1" applyAlignment="1">
      <alignment horizontal="center" vertical="center"/>
    </xf>
    <xf numFmtId="0" fontId="1" fillId="8" borderId="5" xfId="0" applyFont="1" applyFill="1" applyBorder="1" applyAlignment="1">
      <alignment vertical="center"/>
    </xf>
    <xf numFmtId="0" fontId="1" fillId="8" borderId="7" xfId="0" applyFont="1" applyFill="1" applyBorder="1" applyAlignment="1">
      <alignment vertical="center"/>
    </xf>
    <xf numFmtId="0" fontId="2" fillId="8" borderId="1" xfId="0" applyFont="1" applyFill="1" applyBorder="1" applyAlignment="1" applyProtection="1">
      <alignment horizontal="center" vertical="center"/>
      <protection locked="0"/>
    </xf>
    <xf numFmtId="164" fontId="2" fillId="8" borderId="1" xfId="0" applyNumberFormat="1" applyFont="1" applyFill="1" applyBorder="1" applyAlignment="1">
      <alignment horizontal="right" vertical="center"/>
    </xf>
    <xf numFmtId="1" fontId="2" fillId="8" borderId="1" xfId="0" applyNumberFormat="1" applyFont="1" applyFill="1" applyBorder="1" applyAlignment="1">
      <alignment horizontal="center" vertical="center"/>
    </xf>
    <xf numFmtId="0" fontId="2" fillId="11" borderId="1" xfId="0" applyFont="1" applyFill="1" applyBorder="1" applyAlignment="1">
      <alignment horizontal="left" vertical="center" wrapText="1"/>
    </xf>
    <xf numFmtId="0" fontId="12" fillId="13" borderId="4" xfId="0" applyFont="1" applyFill="1" applyBorder="1" applyAlignment="1" applyProtection="1">
      <alignment horizontal="left" vertical="center" wrapText="1"/>
      <protection locked="0"/>
    </xf>
    <xf numFmtId="0" fontId="12" fillId="13" borderId="4" xfId="0" applyFont="1" applyFill="1" applyBorder="1" applyAlignment="1">
      <alignment horizontal="center" vertical="center" wrapText="1"/>
    </xf>
    <xf numFmtId="164" fontId="12" fillId="13" borderId="4" xfId="0" applyNumberFormat="1" applyFont="1" applyFill="1" applyBorder="1" applyAlignment="1">
      <alignment vertical="center" wrapText="1"/>
    </xf>
    <xf numFmtId="0" fontId="12" fillId="13" borderId="1" xfId="0" applyFont="1" applyFill="1" applyBorder="1" applyAlignment="1">
      <alignment horizontal="center" vertical="center"/>
    </xf>
    <xf numFmtId="1" fontId="13" fillId="14" borderId="1" xfId="0" applyNumberFormat="1" applyFont="1" applyFill="1" applyBorder="1" applyAlignment="1">
      <alignment horizontal="center" vertical="center" wrapText="1"/>
    </xf>
    <xf numFmtId="164" fontId="13" fillId="14" borderId="1" xfId="0" applyNumberFormat="1" applyFont="1" applyFill="1" applyBorder="1" applyAlignment="1">
      <alignment vertical="center" wrapText="1"/>
    </xf>
    <xf numFmtId="0" fontId="2" fillId="0" borderId="1" xfId="0" applyFont="1" applyBorder="1" applyAlignment="1">
      <alignment vertical="center" wrapText="1"/>
    </xf>
    <xf numFmtId="164" fontId="2" fillId="12" borderId="2" xfId="1" applyNumberFormat="1" applyFont="1" applyFill="1" applyBorder="1" applyAlignment="1">
      <alignment horizontal="center" vertical="center"/>
    </xf>
    <xf numFmtId="0" fontId="1" fillId="2" borderId="3" xfId="0" applyFont="1" applyFill="1" applyBorder="1" applyAlignment="1">
      <alignment vertical="center" wrapText="1"/>
    </xf>
    <xf numFmtId="0" fontId="1" fillId="2" borderId="3" xfId="0" applyFont="1" applyFill="1" applyBorder="1" applyAlignment="1">
      <alignment horizontal="center" vertical="center"/>
    </xf>
    <xf numFmtId="7" fontId="1" fillId="2" borderId="3" xfId="1" applyNumberFormat="1" applyFont="1" applyFill="1" applyBorder="1" applyAlignment="1">
      <alignment horizontal="center" vertical="center"/>
    </xf>
    <xf numFmtId="9" fontId="1" fillId="10" borderId="3" xfId="2" applyFont="1" applyFill="1" applyBorder="1" applyAlignment="1" applyProtection="1">
      <alignment horizontal="center" vertical="center"/>
      <protection locked="0"/>
    </xf>
    <xf numFmtId="164" fontId="1" fillId="2" borderId="3" xfId="1" applyNumberFormat="1" applyFont="1" applyFill="1" applyBorder="1" applyAlignment="1">
      <alignment horizontal="center" vertical="center"/>
    </xf>
    <xf numFmtId="0" fontId="1" fillId="10" borderId="3" xfId="0" applyFont="1" applyFill="1" applyBorder="1" applyAlignment="1" applyProtection="1">
      <alignment horizontal="center" vertical="center"/>
      <protection locked="0"/>
    </xf>
    <xf numFmtId="164" fontId="1" fillId="2" borderId="3" xfId="0" applyNumberFormat="1" applyFont="1" applyFill="1" applyBorder="1" applyAlignment="1">
      <alignment horizontal="right" vertical="center"/>
    </xf>
    <xf numFmtId="7" fontId="1" fillId="8" borderId="9" xfId="1" applyNumberFormat="1" applyFont="1" applyFill="1" applyBorder="1" applyAlignment="1">
      <alignment horizontal="center" vertical="center"/>
    </xf>
    <xf numFmtId="7" fontId="1" fillId="8" borderId="10" xfId="1" applyNumberFormat="1" applyFont="1" applyFill="1" applyBorder="1" applyAlignment="1">
      <alignment horizontal="center" vertical="center"/>
    </xf>
    <xf numFmtId="9" fontId="1" fillId="8" borderId="10" xfId="2" applyFont="1" applyFill="1" applyBorder="1" applyAlignment="1" applyProtection="1">
      <alignment horizontal="center" vertical="center"/>
      <protection locked="0"/>
    </xf>
    <xf numFmtId="164" fontId="1" fillId="8" borderId="10" xfId="1" applyNumberFormat="1" applyFont="1" applyFill="1" applyBorder="1" applyAlignment="1">
      <alignment horizontal="center" vertical="center"/>
    </xf>
    <xf numFmtId="0" fontId="1" fillId="8" borderId="10" xfId="0" applyFont="1" applyFill="1" applyBorder="1" applyAlignment="1" applyProtection="1">
      <alignment horizontal="center" vertical="center"/>
      <protection locked="0"/>
    </xf>
    <xf numFmtId="164" fontId="2" fillId="8" borderId="6" xfId="0" applyNumberFormat="1" applyFont="1" applyFill="1" applyBorder="1" applyAlignment="1">
      <alignment horizontal="right" vertical="center"/>
    </xf>
    <xf numFmtId="7" fontId="1" fillId="8" borderId="7" xfId="1" applyNumberFormat="1" applyFont="1" applyFill="1" applyBorder="1" applyAlignment="1">
      <alignment horizontal="center" vertical="center"/>
    </xf>
    <xf numFmtId="164" fontId="2" fillId="8" borderId="2" xfId="0" applyNumberFormat="1" applyFont="1" applyFill="1" applyBorder="1" applyAlignment="1">
      <alignment horizontal="right" vertical="center"/>
    </xf>
    <xf numFmtId="0" fontId="2" fillId="2" borderId="4" xfId="0" applyFont="1" applyFill="1" applyBorder="1" applyAlignment="1">
      <alignment vertical="center" wrapText="1"/>
    </xf>
    <xf numFmtId="164" fontId="2" fillId="2" borderId="1" xfId="0" applyNumberFormat="1" applyFont="1" applyFill="1" applyBorder="1" applyAlignment="1">
      <alignment horizontal="right" vertical="center"/>
    </xf>
    <xf numFmtId="0" fontId="1" fillId="2" borderId="11" xfId="0" applyFont="1" applyFill="1" applyBorder="1" applyAlignment="1">
      <alignment vertical="center" wrapText="1"/>
    </xf>
    <xf numFmtId="0" fontId="1" fillId="2" borderId="12" xfId="0" applyFont="1" applyFill="1" applyBorder="1" applyAlignment="1">
      <alignment horizontal="center" vertical="center"/>
    </xf>
    <xf numFmtId="7" fontId="1" fillId="2" borderId="12" xfId="1" applyNumberFormat="1" applyFont="1" applyFill="1" applyBorder="1" applyAlignment="1">
      <alignment horizontal="center" vertical="center"/>
    </xf>
    <xf numFmtId="9" fontId="1" fillId="10" borderId="12" xfId="2" applyFont="1" applyFill="1" applyBorder="1" applyAlignment="1" applyProtection="1">
      <alignment horizontal="center" vertical="center"/>
      <protection locked="0"/>
    </xf>
    <xf numFmtId="164" fontId="1" fillId="2" borderId="12" xfId="1" applyNumberFormat="1" applyFont="1" applyFill="1" applyBorder="1" applyAlignment="1">
      <alignment horizontal="center" vertical="center"/>
    </xf>
    <xf numFmtId="0" fontId="1" fillId="10" borderId="12" xfId="0" applyFont="1" applyFill="1" applyBorder="1" applyAlignment="1" applyProtection="1">
      <alignment horizontal="center" vertical="center"/>
      <protection locked="0"/>
    </xf>
    <xf numFmtId="0" fontId="2" fillId="2" borderId="1" xfId="0" applyFont="1" applyFill="1" applyBorder="1" applyAlignment="1">
      <alignment horizontal="center" vertical="center" wrapText="1"/>
    </xf>
    <xf numFmtId="7" fontId="1" fillId="8" borderId="0" xfId="1" applyNumberFormat="1" applyFont="1" applyFill="1" applyBorder="1" applyAlignment="1">
      <alignment horizontal="center" vertical="center"/>
    </xf>
    <xf numFmtId="9" fontId="1" fillId="8" borderId="0" xfId="2" applyFont="1" applyFill="1" applyBorder="1" applyAlignment="1" applyProtection="1">
      <alignment horizontal="center" vertical="center"/>
      <protection locked="0"/>
    </xf>
    <xf numFmtId="164" fontId="1" fillId="8" borderId="0" xfId="1" applyNumberFormat="1" applyFont="1" applyFill="1" applyBorder="1" applyAlignment="1">
      <alignment horizontal="center" vertical="center"/>
    </xf>
    <xf numFmtId="0" fontId="12" fillId="8" borderId="0" xfId="0" applyFont="1" applyFill="1" applyAlignment="1" applyProtection="1">
      <alignment horizontal="right" vertical="center"/>
      <protection locked="0"/>
    </xf>
    <xf numFmtId="164" fontId="2" fillId="12" borderId="0" xfId="1" applyNumberFormat="1" applyFont="1" applyFill="1" applyBorder="1" applyAlignment="1">
      <alignment horizontal="center" vertical="center"/>
    </xf>
    <xf numFmtId="164" fontId="2" fillId="12" borderId="2" xfId="1" applyNumberFormat="1" applyFont="1" applyFill="1" applyBorder="1" applyAlignment="1">
      <alignment horizontal="right" vertical="center"/>
    </xf>
    <xf numFmtId="164" fontId="2" fillId="8" borderId="10" xfId="0" applyNumberFormat="1" applyFont="1" applyFill="1" applyBorder="1" applyAlignment="1">
      <alignment horizontal="right" vertical="center"/>
    </xf>
    <xf numFmtId="0" fontId="2" fillId="0" borderId="0" xfId="0" applyFont="1" applyAlignment="1">
      <alignment horizontal="left" vertical="center"/>
    </xf>
    <xf numFmtId="0" fontId="2" fillId="0" borderId="0" xfId="0" applyFont="1" applyAlignment="1">
      <alignment horizontal="right" vertical="center"/>
    </xf>
    <xf numFmtId="0" fontId="1" fillId="0" borderId="0" xfId="0" applyFont="1" applyAlignment="1">
      <alignment horizontal="right"/>
    </xf>
    <xf numFmtId="0" fontId="1" fillId="0" borderId="0" xfId="0" applyFont="1"/>
    <xf numFmtId="0" fontId="2" fillId="0" borderId="0" xfId="0" applyFont="1" applyAlignment="1" applyProtection="1">
      <alignment horizontal="center" vertical="center" wrapText="1"/>
      <protection locked="0"/>
    </xf>
    <xf numFmtId="0" fontId="2" fillId="0" borderId="0" xfId="0" applyFont="1" applyAlignment="1" applyProtection="1">
      <alignment horizontal="right" vertical="center" wrapText="1"/>
      <protection locked="0"/>
    </xf>
    <xf numFmtId="0" fontId="2" fillId="13" borderId="4" xfId="0" applyFont="1" applyFill="1" applyBorder="1" applyAlignment="1" applyProtection="1">
      <alignment horizontal="left" vertical="center" wrapText="1"/>
      <protection locked="0"/>
    </xf>
    <xf numFmtId="0" fontId="2" fillId="13" borderId="4" xfId="0" applyFont="1" applyFill="1" applyBorder="1" applyAlignment="1">
      <alignment horizontal="center" vertical="center" wrapText="1"/>
    </xf>
    <xf numFmtId="164" fontId="2" fillId="13" borderId="4" xfId="0" applyNumberFormat="1" applyFont="1" applyFill="1" applyBorder="1" applyAlignment="1">
      <alignment vertical="center" wrapText="1"/>
    </xf>
    <xf numFmtId="0" fontId="2" fillId="13" borderId="1" xfId="0" applyFont="1" applyFill="1" applyBorder="1" applyAlignment="1">
      <alignment horizontal="center" vertical="center"/>
    </xf>
    <xf numFmtId="0" fontId="2" fillId="14" borderId="1" xfId="0" applyFont="1" applyFill="1" applyBorder="1" applyAlignment="1" applyProtection="1">
      <alignment horizontal="left" vertical="center" wrapText="1"/>
      <protection locked="0"/>
    </xf>
    <xf numFmtId="1" fontId="2" fillId="14" borderId="1" xfId="0" applyNumberFormat="1" applyFont="1" applyFill="1" applyBorder="1" applyAlignment="1">
      <alignment horizontal="center" vertical="center" wrapText="1"/>
    </xf>
    <xf numFmtId="164" fontId="2" fillId="14" borderId="1" xfId="0" applyNumberFormat="1" applyFont="1" applyFill="1" applyBorder="1" applyAlignment="1">
      <alignment vertical="center" wrapText="1"/>
    </xf>
    <xf numFmtId="164" fontId="1" fillId="0" borderId="8" xfId="0" applyNumberFormat="1" applyFont="1" applyBorder="1" applyAlignment="1">
      <alignment horizontal="right"/>
    </xf>
    <xf numFmtId="0" fontId="2" fillId="0" borderId="0" xfId="0" applyFont="1" applyAlignment="1">
      <alignment horizontal="center" vertical="center"/>
    </xf>
    <xf numFmtId="0" fontId="2" fillId="12" borderId="1" xfId="0" applyFont="1" applyFill="1" applyBorder="1" applyAlignment="1" applyProtection="1">
      <alignment horizontal="center" vertical="center" wrapText="1"/>
      <protection locked="0"/>
    </xf>
    <xf numFmtId="0" fontId="1" fillId="2" borderId="1" xfId="0" applyFont="1" applyFill="1" applyBorder="1" applyAlignment="1">
      <alignment horizontal="left" vertical="center" wrapText="1" indent="1"/>
    </xf>
    <xf numFmtId="0" fontId="1" fillId="0" borderId="1" xfId="0" applyFont="1" applyBorder="1" applyAlignment="1">
      <alignment horizontal="left" vertical="center" wrapText="1" indent="1"/>
    </xf>
    <xf numFmtId="0" fontId="12" fillId="13" borderId="4" xfId="0" applyFont="1" applyFill="1" applyBorder="1" applyAlignment="1">
      <alignment horizontal="left" vertical="center" wrapText="1"/>
    </xf>
    <xf numFmtId="0" fontId="13" fillId="14" borderId="1" xfId="0" applyFont="1" applyFill="1" applyBorder="1" applyAlignment="1">
      <alignment horizontal="left" vertical="center" wrapText="1"/>
    </xf>
    <xf numFmtId="0" fontId="8" fillId="4" borderId="1" xfId="0" applyFont="1" applyFill="1" applyBorder="1" applyAlignment="1">
      <alignment horizontal="right" vertical="center" wrapText="1"/>
    </xf>
    <xf numFmtId="0" fontId="2" fillId="13" borderId="4" xfId="0" applyFont="1" applyFill="1" applyBorder="1" applyAlignment="1">
      <alignment horizontal="left" vertical="center" wrapText="1"/>
    </xf>
    <xf numFmtId="0" fontId="2" fillId="12" borderId="1" xfId="0" applyFont="1" applyFill="1" applyBorder="1" applyAlignment="1">
      <alignment horizontal="center" vertical="center" wrapText="1"/>
    </xf>
    <xf numFmtId="0" fontId="14" fillId="5" borderId="5" xfId="0" applyFont="1" applyFill="1" applyBorder="1" applyAlignment="1" applyProtection="1">
      <alignment horizontal="left"/>
      <protection locked="0"/>
    </xf>
    <xf numFmtId="0" fontId="14" fillId="5" borderId="7" xfId="0" applyFont="1" applyFill="1" applyBorder="1" applyAlignment="1" applyProtection="1">
      <alignment horizontal="left"/>
      <protection locked="0"/>
    </xf>
    <xf numFmtId="0" fontId="14" fillId="5" borderId="2" xfId="0" applyFont="1" applyFill="1" applyBorder="1" applyAlignment="1" applyProtection="1">
      <alignment horizontal="left"/>
      <protection locked="0"/>
    </xf>
    <xf numFmtId="0" fontId="1" fillId="0" borderId="0" xfId="0" applyFont="1" applyAlignment="1">
      <alignment horizontal="center" vertical="center" wrapText="1"/>
    </xf>
    <xf numFmtId="0" fontId="2" fillId="0" borderId="0" xfId="0" applyFont="1" applyAlignment="1">
      <alignment horizontal="center" vertical="center"/>
    </xf>
    <xf numFmtId="0" fontId="2" fillId="2" borderId="13" xfId="0" applyFont="1" applyFill="1" applyBorder="1" applyAlignment="1">
      <alignment vertical="center" wrapText="1"/>
    </xf>
    <xf numFmtId="0" fontId="1" fillId="0" borderId="1" xfId="0" applyFont="1" applyFill="1" applyBorder="1" applyAlignment="1">
      <alignment horizontal="center" vertical="center"/>
    </xf>
    <xf numFmtId="0" fontId="1" fillId="0" borderId="1" xfId="0" applyFont="1" applyFill="1" applyBorder="1" applyAlignment="1">
      <alignment vertical="center" wrapText="1"/>
    </xf>
    <xf numFmtId="0" fontId="1" fillId="0" borderId="1" xfId="0" applyFont="1" applyFill="1" applyBorder="1" applyAlignment="1">
      <alignment horizontal="center" vertical="center" wrapText="1"/>
    </xf>
    <xf numFmtId="0" fontId="5" fillId="0" borderId="1" xfId="0" applyFont="1" applyFill="1" applyBorder="1" applyAlignment="1">
      <alignment vertical="center" wrapText="1"/>
    </xf>
    <xf numFmtId="0" fontId="1" fillId="0" borderId="1" xfId="0" applyFont="1" applyFill="1" applyBorder="1" applyAlignment="1" applyProtection="1">
      <alignment horizontal="center" vertical="center"/>
      <protection locked="0"/>
    </xf>
    <xf numFmtId="164" fontId="1" fillId="0" borderId="1" xfId="0" applyNumberFormat="1" applyFont="1" applyFill="1" applyBorder="1" applyAlignment="1">
      <alignment horizontal="right" vertical="center"/>
    </xf>
    <xf numFmtId="1" fontId="1" fillId="0" borderId="1" xfId="0" applyNumberFormat="1" applyFont="1" applyFill="1" applyBorder="1" applyAlignment="1">
      <alignment horizontal="center" vertical="center"/>
    </xf>
    <xf numFmtId="0" fontId="1" fillId="0" borderId="0" xfId="0" applyFont="1" applyFill="1" applyAlignment="1">
      <alignment vertical="center"/>
    </xf>
    <xf numFmtId="0" fontId="1" fillId="4" borderId="1" xfId="0" applyFont="1" applyFill="1" applyBorder="1" applyAlignment="1">
      <alignment horizontal="center" vertical="center"/>
    </xf>
    <xf numFmtId="0" fontId="0" fillId="0" borderId="1" xfId="0" applyBorder="1" applyAlignment="1" applyProtection="1">
      <alignment vertical="center" wrapText="1"/>
    </xf>
    <xf numFmtId="0" fontId="0" fillId="0" borderId="0" xfId="0" applyProtection="1"/>
    <xf numFmtId="0" fontId="1" fillId="4" borderId="1" xfId="0" applyFont="1" applyFill="1" applyBorder="1" applyAlignment="1" applyProtection="1">
      <alignment horizontal="center" vertical="center"/>
      <protection locked="0"/>
    </xf>
    <xf numFmtId="44" fontId="9" fillId="11" borderId="0" xfId="1" applyFont="1" applyFill="1" applyProtection="1">
      <protection locked="0"/>
    </xf>
  </cellXfs>
  <cellStyles count="4">
    <cellStyle name="Comma" xfId="3" builtinId="3"/>
    <cellStyle name="Currency" xfId="1" builtinId="4"/>
    <cellStyle name="Normal" xfId="0" builtinId="0"/>
    <cellStyle name="Percent" xfId="2" builtinId="5"/>
  </cellStyles>
  <dxfs count="54">
    <dxf>
      <font>
        <b/>
        <i val="0"/>
      </font>
      <fill>
        <patternFill>
          <bgColor theme="4" tint="-0.24994659260841701"/>
        </patternFill>
      </fill>
    </dxf>
    <dxf>
      <font>
        <b/>
        <i val="0"/>
      </font>
      <fill>
        <patternFill>
          <bgColor theme="4" tint="-0.24994659260841701"/>
        </patternFill>
      </fill>
    </dxf>
    <dxf>
      <font>
        <color rgb="FF9C0006"/>
      </font>
      <fill>
        <patternFill>
          <bgColor rgb="FFFFC7CE"/>
        </patternFill>
      </fill>
    </dxf>
    <dxf>
      <font>
        <b/>
        <i val="0"/>
      </font>
      <fill>
        <patternFill>
          <bgColor theme="4" tint="-0.24994659260841701"/>
        </patternFill>
      </fill>
    </dxf>
    <dxf>
      <font>
        <b/>
        <i val="0"/>
      </font>
      <fill>
        <patternFill>
          <bgColor theme="4" tint="-0.24994659260841701"/>
        </patternFill>
      </fill>
    </dxf>
    <dxf>
      <font>
        <b/>
        <i val="0"/>
      </font>
      <fill>
        <patternFill>
          <bgColor theme="4" tint="-0.24994659260841701"/>
        </patternFill>
      </fill>
    </dxf>
    <dxf>
      <font>
        <b/>
        <i val="0"/>
      </font>
      <fill>
        <patternFill>
          <bgColor theme="4" tint="-0.24994659260841701"/>
        </patternFill>
      </fill>
    </dxf>
    <dxf>
      <font>
        <b/>
        <i val="0"/>
      </font>
      <fill>
        <patternFill>
          <bgColor theme="4" tint="-0.24994659260841701"/>
        </patternFill>
      </fill>
    </dxf>
    <dxf>
      <font>
        <b/>
        <i val="0"/>
      </font>
      <fill>
        <patternFill>
          <bgColor theme="4" tint="-0.24994659260841701"/>
        </patternFill>
      </fill>
    </dxf>
    <dxf>
      <font>
        <b/>
        <i val="0"/>
      </font>
      <fill>
        <patternFill>
          <bgColor theme="4" tint="-0.24994659260841701"/>
        </patternFill>
      </fill>
    </dxf>
    <dxf>
      <font>
        <b/>
        <i val="0"/>
      </font>
      <fill>
        <patternFill>
          <bgColor theme="4" tint="-0.24994659260841701"/>
        </patternFill>
      </fill>
    </dxf>
    <dxf>
      <font>
        <b/>
        <i val="0"/>
      </font>
      <fill>
        <patternFill>
          <bgColor theme="4" tint="-0.24994659260841701"/>
        </patternFill>
      </fill>
    </dxf>
    <dxf>
      <font>
        <b/>
        <i val="0"/>
      </font>
      <fill>
        <patternFill>
          <bgColor theme="4" tint="-0.24994659260841701"/>
        </patternFill>
      </fill>
    </dxf>
    <dxf>
      <font>
        <b/>
        <i val="0"/>
      </font>
      <fill>
        <patternFill>
          <bgColor theme="4" tint="-0.24994659260841701"/>
        </patternFill>
      </fill>
    </dxf>
    <dxf>
      <font>
        <b/>
        <i val="0"/>
      </font>
      <fill>
        <patternFill>
          <bgColor theme="4" tint="-0.24994659260841701"/>
        </patternFill>
      </fill>
    </dxf>
    <dxf>
      <font>
        <b/>
        <i val="0"/>
      </font>
      <fill>
        <patternFill>
          <bgColor theme="4" tint="-0.24994659260841701"/>
        </patternFill>
      </fill>
    </dxf>
    <dxf>
      <font>
        <b/>
        <i val="0"/>
      </font>
      <fill>
        <patternFill>
          <bgColor theme="4" tint="-0.24994659260841701"/>
        </patternFill>
      </fill>
    </dxf>
    <dxf>
      <font>
        <b/>
        <i val="0"/>
      </font>
      <fill>
        <patternFill>
          <bgColor theme="4" tint="-0.24994659260841701"/>
        </patternFill>
      </fill>
    </dxf>
    <dxf>
      <font>
        <b/>
        <i val="0"/>
      </font>
      <fill>
        <patternFill>
          <bgColor theme="4" tint="-0.24994659260841701"/>
        </patternFill>
      </fill>
    </dxf>
    <dxf>
      <font>
        <b/>
        <i val="0"/>
      </font>
      <fill>
        <patternFill>
          <bgColor theme="4" tint="-0.24994659260841701"/>
        </patternFill>
      </fill>
    </dxf>
    <dxf>
      <font>
        <b/>
        <i val="0"/>
      </font>
      <fill>
        <patternFill>
          <bgColor theme="4" tint="-0.24994659260841701"/>
        </patternFill>
      </fill>
    </dxf>
    <dxf>
      <font>
        <b/>
        <i val="0"/>
      </font>
      <fill>
        <patternFill>
          <bgColor theme="4" tint="-0.24994659260841701"/>
        </patternFill>
      </fill>
    </dxf>
    <dxf>
      <font>
        <b/>
        <i val="0"/>
      </font>
      <fill>
        <patternFill>
          <bgColor theme="4" tint="-0.24994659260841701"/>
        </patternFill>
      </fill>
    </dxf>
    <dxf>
      <font>
        <b/>
        <i val="0"/>
      </font>
      <fill>
        <patternFill>
          <bgColor theme="4" tint="-0.24994659260841701"/>
        </patternFill>
      </fill>
    </dxf>
    <dxf>
      <font>
        <b/>
        <i val="0"/>
      </font>
      <fill>
        <patternFill>
          <bgColor theme="4"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24994659260841701"/>
        </patternFill>
      </fill>
    </dxf>
    <dxf>
      <font>
        <b/>
        <i val="0"/>
      </font>
      <fill>
        <patternFill>
          <bgColor theme="4" tint="-0.24994659260841701"/>
        </patternFill>
      </fill>
    </dxf>
    <dxf>
      <font>
        <b/>
        <i val="0"/>
      </font>
      <fill>
        <patternFill>
          <bgColor theme="4" tint="-0.24994659260841701"/>
        </patternFill>
      </fill>
    </dxf>
    <dxf>
      <font>
        <b/>
        <i val="0"/>
      </font>
      <fill>
        <patternFill>
          <bgColor theme="4" tint="-0.24994659260841701"/>
        </patternFill>
      </fill>
    </dxf>
    <dxf>
      <font>
        <b/>
        <i val="0"/>
      </font>
      <fill>
        <patternFill>
          <bgColor theme="4" tint="-0.24994659260841701"/>
        </patternFill>
      </fill>
    </dxf>
    <dxf>
      <font>
        <b/>
        <i val="0"/>
      </font>
      <fill>
        <patternFill>
          <bgColor theme="4" tint="-0.24994659260841701"/>
        </patternFill>
      </fill>
    </dxf>
    <dxf>
      <font>
        <b/>
        <i val="0"/>
      </font>
      <fill>
        <patternFill>
          <bgColor theme="4" tint="-0.24994659260841701"/>
        </patternFill>
      </fill>
    </dxf>
    <dxf>
      <font>
        <b/>
        <i val="0"/>
      </font>
      <fill>
        <patternFill>
          <bgColor theme="4" tint="-0.24994659260841701"/>
        </patternFill>
      </fill>
    </dxf>
    <dxf>
      <font>
        <color rgb="FF9C0006"/>
      </font>
      <fill>
        <patternFill>
          <bgColor rgb="FFFFC7CE"/>
        </patternFill>
      </fill>
    </dxf>
    <dxf>
      <font>
        <color rgb="FF9C0006"/>
      </font>
      <fill>
        <patternFill>
          <bgColor rgb="FFFFC7CE"/>
        </patternFill>
      </fill>
    </dxf>
    <dxf>
      <font>
        <b/>
        <i val="0"/>
      </font>
      <fill>
        <patternFill>
          <bgColor theme="4" tint="-0.24994659260841701"/>
        </patternFill>
      </fill>
    </dxf>
    <dxf>
      <font>
        <b/>
        <i val="0"/>
      </font>
      <fill>
        <patternFill>
          <bgColor theme="4"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24994659260841701"/>
        </patternFill>
      </fill>
    </dxf>
  </dxfs>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81179-2C86-497E-8B2D-9F3AEB09067D}">
  <sheetPr codeName="Sheet1">
    <tabColor theme="4"/>
  </sheetPr>
  <dimension ref="A1:E61"/>
  <sheetViews>
    <sheetView zoomScale="150" zoomScaleNormal="150" workbookViewId="0">
      <pane xSplit="1" ySplit="2" topLeftCell="B46" activePane="bottomRight" state="frozen"/>
      <selection pane="topRight" activeCell="B1" sqref="B1"/>
      <selection pane="bottomLeft" activeCell="A3" sqref="A3"/>
      <selection pane="bottomRight" activeCell="E52" sqref="E52"/>
    </sheetView>
  </sheetViews>
  <sheetFormatPr defaultRowHeight="15" x14ac:dyDescent="0.25"/>
  <cols>
    <col min="1" max="1" width="75.7109375" customWidth="1"/>
    <col min="2" max="2" width="30.140625" customWidth="1"/>
    <col min="3" max="3" width="16.7109375" style="66" customWidth="1"/>
    <col min="4" max="4" width="13.140625" customWidth="1"/>
    <col min="5" max="5" width="53.85546875" customWidth="1"/>
  </cols>
  <sheetData>
    <row r="1" spans="1:5" x14ac:dyDescent="0.25">
      <c r="A1" s="71" t="s">
        <v>158</v>
      </c>
      <c r="B1" s="72" t="s">
        <v>164</v>
      </c>
      <c r="C1" s="75"/>
      <c r="D1" s="73"/>
      <c r="E1" s="73" t="s">
        <v>609</v>
      </c>
    </row>
    <row r="2" spans="1:5" ht="18.75" x14ac:dyDescent="0.3">
      <c r="A2" s="44" t="s">
        <v>179</v>
      </c>
      <c r="B2" s="143" t="s">
        <v>643</v>
      </c>
      <c r="C2" s="46"/>
      <c r="D2" s="46"/>
      <c r="E2" s="46"/>
    </row>
    <row r="3" spans="1:5" ht="18.75" x14ac:dyDescent="0.3">
      <c r="A3" s="44" t="s">
        <v>629</v>
      </c>
      <c r="B3" s="45">
        <v>9</v>
      </c>
      <c r="C3" s="70"/>
      <c r="D3" s="43"/>
      <c r="E3" s="46"/>
    </row>
    <row r="4" spans="1:5" ht="45.75" x14ac:dyDescent="0.3">
      <c r="A4" s="44"/>
      <c r="B4" s="43"/>
      <c r="C4" s="75" t="s">
        <v>634</v>
      </c>
      <c r="D4" s="73" t="s">
        <v>635</v>
      </c>
      <c r="E4" s="46"/>
    </row>
    <row r="5" spans="1:5" ht="22.5" customHeight="1" x14ac:dyDescent="0.3">
      <c r="A5" s="44" t="s">
        <v>605</v>
      </c>
      <c r="B5" s="68" t="str">
        <f>_xlfn.XLOOKUP($B$3,Tiers_list!$D:$D,Tiers_list!$A:$A,,1)</f>
        <v>Tier  - 1 - 10</v>
      </c>
      <c r="C5" s="70">
        <f>_xlfn.XLOOKUP('Proposal Form Tier 1'!$B$5,Tiers_list!$A:$A,Tiers_list!C:C,,0)</f>
        <v>1</v>
      </c>
      <c r="D5" s="70">
        <f>_xlfn.XLOOKUP('Proposal Form Tier 1'!$B$5,Tiers_list!$A:$A,Tiers_list!D:D,,0)</f>
        <v>10</v>
      </c>
      <c r="E5" s="130" t="str">
        <f>IF(B5&lt;&gt;"Tier  - 1 - 10","This Sheet is intended for Tier 1. If controller over 10 use 'Basic Form Tier 2-12'","")</f>
        <v/>
      </c>
    </row>
    <row r="6" spans="1:5" ht="18.75" x14ac:dyDescent="0.3">
      <c r="A6" s="44" t="s">
        <v>608</v>
      </c>
      <c r="B6" s="45">
        <v>1</v>
      </c>
      <c r="C6" s="70"/>
      <c r="D6" s="43"/>
      <c r="E6" s="46"/>
    </row>
    <row r="7" spans="1:5" ht="18.75" x14ac:dyDescent="0.3">
      <c r="A7" s="47"/>
      <c r="B7" s="48"/>
      <c r="C7" s="141"/>
      <c r="D7" s="49"/>
      <c r="E7" s="50"/>
    </row>
    <row r="8" spans="1:5" ht="18.75" x14ac:dyDescent="0.3">
      <c r="A8" s="44" t="s">
        <v>113</v>
      </c>
      <c r="B8" s="45">
        <v>0</v>
      </c>
      <c r="C8" s="70"/>
      <c r="D8" s="43"/>
      <c r="E8" s="46"/>
    </row>
    <row r="9" spans="1:5" ht="18.75" x14ac:dyDescent="0.3">
      <c r="A9" s="44" t="s">
        <v>606</v>
      </c>
      <c r="B9" s="45">
        <v>0</v>
      </c>
      <c r="C9" s="70"/>
      <c r="D9" s="43"/>
      <c r="E9" s="46"/>
    </row>
    <row r="10" spans="1:5" ht="18.75" x14ac:dyDescent="0.3">
      <c r="A10" s="44" t="s">
        <v>607</v>
      </c>
      <c r="B10" s="45">
        <v>1</v>
      </c>
      <c r="C10" s="70"/>
      <c r="D10" s="43"/>
      <c r="E10" s="46"/>
    </row>
    <row r="11" spans="1:5" ht="18.75" x14ac:dyDescent="0.3">
      <c r="A11" s="44" t="s">
        <v>159</v>
      </c>
      <c r="B11" s="69">
        <f>SUM(B8:B10)</f>
        <v>1</v>
      </c>
      <c r="C11" s="70"/>
      <c r="D11" s="43"/>
      <c r="E11" s="46"/>
    </row>
    <row r="12" spans="1:5" ht="18.75" x14ac:dyDescent="0.3">
      <c r="A12" s="44" t="s">
        <v>618</v>
      </c>
      <c r="B12" s="102">
        <v>0.5</v>
      </c>
      <c r="C12" s="70"/>
      <c r="D12" s="43"/>
      <c r="E12" s="46"/>
    </row>
    <row r="13" spans="1:5" x14ac:dyDescent="0.25">
      <c r="A13" s="100"/>
      <c r="B13" s="100"/>
      <c r="C13" s="142"/>
      <c r="D13" s="101"/>
      <c r="E13" s="46"/>
    </row>
    <row r="14" spans="1:5" ht="25.5" customHeight="1" x14ac:dyDescent="0.3">
      <c r="A14" s="44" t="s">
        <v>603</v>
      </c>
      <c r="B14" s="68">
        <f>_xlfn.XLOOKUP(B2,End_user!A:A,End_user!B:B,0,0)</f>
        <v>0</v>
      </c>
      <c r="C14" s="70"/>
      <c r="D14" s="43"/>
      <c r="E14" s="46"/>
    </row>
    <row r="15" spans="1:5" ht="18.75" x14ac:dyDescent="0.3">
      <c r="A15" s="44" t="s">
        <v>178</v>
      </c>
      <c r="B15" s="244" t="s">
        <v>243</v>
      </c>
      <c r="C15" s="245"/>
      <c r="D15" s="246"/>
      <c r="E15" s="46"/>
    </row>
    <row r="16" spans="1:5" ht="18.75" x14ac:dyDescent="0.3">
      <c r="A16" s="44" t="s">
        <v>602</v>
      </c>
      <c r="B16" s="68">
        <f>_xlfn.XLOOKUP(B15,'Integrator List'!A:A,'Integrator List'!B:B,0,0)</f>
        <v>0.25</v>
      </c>
      <c r="C16" s="70"/>
      <c r="D16" s="43"/>
      <c r="E16" s="46"/>
    </row>
    <row r="17" spans="1:5" ht="18.75" x14ac:dyDescent="0.3">
      <c r="A17" s="61"/>
      <c r="B17" s="61"/>
    </row>
    <row r="19" spans="1:5" s="77" customFormat="1" ht="18.75" x14ac:dyDescent="0.3">
      <c r="A19" s="74" t="s">
        <v>632</v>
      </c>
      <c r="B19" s="72" t="s">
        <v>164</v>
      </c>
      <c r="C19" s="75" t="s">
        <v>174</v>
      </c>
      <c r="D19" s="75" t="s">
        <v>175</v>
      </c>
      <c r="E19" s="76"/>
    </row>
    <row r="20" spans="1:5" ht="30" x14ac:dyDescent="0.3">
      <c r="A20" s="133" t="str">
        <f>_xlfn.XLOOKUP($C20,Tiers_list!$2:$2,Tiers_list!$1:$1,,0)</f>
        <v>ACS system data non cloud integration / parser to 3rd party systems ACS Event Messages, Credentials and User Logs Module</v>
      </c>
      <c r="B20" s="59">
        <v>1</v>
      </c>
      <c r="C20" s="70" t="s">
        <v>64</v>
      </c>
      <c r="D20" s="2" t="s">
        <v>20</v>
      </c>
      <c r="E20" s="43" t="s">
        <v>612</v>
      </c>
    </row>
    <row r="21" spans="1:5" ht="18.75" x14ac:dyDescent="0.3">
      <c r="A21" s="133" t="str">
        <f>_xlfn.XLOOKUP($C21,Tiers_list!$2:$2,Tiers_list!$1:$1,,0)</f>
        <v>ACS Job Scheduler Service Module</v>
      </c>
      <c r="B21" s="59">
        <v>1</v>
      </c>
      <c r="C21" s="70" t="s">
        <v>71</v>
      </c>
      <c r="D21" s="2" t="s">
        <v>20</v>
      </c>
      <c r="E21" s="43" t="s">
        <v>612</v>
      </c>
    </row>
    <row r="22" spans="1:5" ht="18.75" x14ac:dyDescent="0.3">
      <c r="A22" s="133" t="str">
        <f>_xlfn.XLOOKUP($C22,Tiers_list!$2:$2,Tiers_list!$1:$1,,0)</f>
        <v>AFH / Data Collection Service Module</v>
      </c>
      <c r="B22" s="59">
        <v>1</v>
      </c>
      <c r="C22" s="70" t="s">
        <v>61</v>
      </c>
      <c r="D22" s="2" t="s">
        <v>20</v>
      </c>
      <c r="E22" s="43" t="s">
        <v>612</v>
      </c>
    </row>
    <row r="23" spans="1:5" ht="18.75" x14ac:dyDescent="0.3">
      <c r="A23" s="133" t="str">
        <f>_xlfn.XLOOKUP($C23,Tiers_list!$2:$2,Tiers_list!$1:$1,,0)</f>
        <v>Remote ACS Hardware firmware updates Module</v>
      </c>
      <c r="B23" s="59">
        <v>1</v>
      </c>
      <c r="C23" s="70" t="s">
        <v>62</v>
      </c>
      <c r="D23" s="2" t="s">
        <v>20</v>
      </c>
      <c r="E23" s="43" t="s">
        <v>612</v>
      </c>
    </row>
    <row r="24" spans="1:5" ht="18.75" x14ac:dyDescent="0.3">
      <c r="A24" s="133" t="str">
        <f>_xlfn.XLOOKUP($C24,Tiers_list!$2:$2,Tiers_list!$1:$1,,0)</f>
        <v>Reader Credentials Accepted and Rejected Supervision Module</v>
      </c>
      <c r="B24" s="59">
        <v>1</v>
      </c>
      <c r="C24" s="70" t="s">
        <v>78</v>
      </c>
      <c r="D24" s="2" t="s">
        <v>20</v>
      </c>
      <c r="E24" s="43" t="s">
        <v>612</v>
      </c>
    </row>
    <row r="25" spans="1:5" x14ac:dyDescent="0.25">
      <c r="A25" s="133"/>
      <c r="B25" s="160"/>
      <c r="C25" s="70"/>
      <c r="D25" s="2"/>
      <c r="E25" s="43"/>
    </row>
    <row r="26" spans="1:5" ht="18.75" x14ac:dyDescent="0.3">
      <c r="A26" s="133" t="str">
        <f>_xlfn.XLOOKUP($C26,Tiers_list!$2:$2,Tiers_list!$1:$1,,0)</f>
        <v>ACS TLS 1.2/1.3 PCB</v>
      </c>
      <c r="B26" s="159">
        <f>+B3</f>
        <v>9</v>
      </c>
      <c r="C26" s="70" t="s">
        <v>79</v>
      </c>
      <c r="D26" s="2" t="s">
        <v>20</v>
      </c>
      <c r="E26" s="43" t="s">
        <v>612</v>
      </c>
    </row>
    <row r="27" spans="1:5" ht="18.75" x14ac:dyDescent="0.3">
      <c r="A27" s="133" t="str">
        <f>_xlfn.XLOOKUP($C27,Tiers_list!$2:$2,Tiers_list!$1:$1,,0)</f>
        <v>24/7 ACS Enterprise Telephone Support</v>
      </c>
      <c r="B27" s="59">
        <v>1</v>
      </c>
      <c r="C27" s="70" t="s">
        <v>157</v>
      </c>
      <c r="D27" s="2" t="s">
        <v>20</v>
      </c>
      <c r="E27" s="43" t="s">
        <v>615</v>
      </c>
    </row>
    <row r="28" spans="1:5" ht="33.75" x14ac:dyDescent="0.3">
      <c r="A28" s="133" t="str">
        <f>_xlfn.XLOOKUP($C28,Tiers_list!$2:$2,Tiers_list!$1:$1,,0)</f>
        <v>Annual Remote Training ACS</v>
      </c>
      <c r="B28" s="59">
        <v>1</v>
      </c>
      <c r="C28" s="70" t="s">
        <v>181</v>
      </c>
      <c r="D28" s="5" t="s">
        <v>165</v>
      </c>
      <c r="E28" s="43" t="s">
        <v>612</v>
      </c>
    </row>
    <row r="29" spans="1:5" x14ac:dyDescent="0.25">
      <c r="A29" s="133"/>
      <c r="B29" s="160"/>
      <c r="C29" s="70"/>
      <c r="D29" s="5"/>
      <c r="E29" s="43"/>
    </row>
    <row r="30" spans="1:5" ht="18.75" x14ac:dyDescent="0.3">
      <c r="A30" s="133" t="str">
        <f>_xlfn.XLOOKUP($C30,Tiers_list!$2:$2,Tiers_list!$1:$1,,0)</f>
        <v>ACS Enterprise - Tech Software License - Annual Software Assurance</v>
      </c>
      <c r="B30" s="59">
        <v>0</v>
      </c>
      <c r="C30" s="70" t="s">
        <v>616</v>
      </c>
      <c r="D30" s="2" t="s">
        <v>20</v>
      </c>
      <c r="E30" s="43" t="s">
        <v>612</v>
      </c>
    </row>
    <row r="31" spans="1:5" x14ac:dyDescent="0.25">
      <c r="B31" s="58"/>
    </row>
    <row r="32" spans="1:5" s="77" customFormat="1" ht="18.75" x14ac:dyDescent="0.3">
      <c r="A32" s="74" t="s">
        <v>633</v>
      </c>
      <c r="B32" s="161" t="s">
        <v>164</v>
      </c>
      <c r="C32" s="75" t="str">
        <f>+C19</f>
        <v>Product Number</v>
      </c>
      <c r="D32" s="75" t="s">
        <v>175</v>
      </c>
      <c r="E32" s="76"/>
    </row>
    <row r="33" spans="1:5" ht="18.75" x14ac:dyDescent="0.3">
      <c r="A33" s="133" t="str">
        <f>_xlfn.XLOOKUP($C33,Tiers_list!$2:$2,Tiers_list!$1:$1,,0)</f>
        <v>TLS 1.2/1.3 PCB</v>
      </c>
      <c r="B33" s="159">
        <f>+B26</f>
        <v>9</v>
      </c>
      <c r="C33" s="57" t="s">
        <v>124</v>
      </c>
      <c r="D33" s="2" t="s">
        <v>20</v>
      </c>
      <c r="E33" s="43" t="s">
        <v>611</v>
      </c>
    </row>
    <row r="34" spans="1:5" ht="24.75" customHeight="1" x14ac:dyDescent="0.3">
      <c r="A34" s="133" t="str">
        <f>_xlfn.XLOOKUP($C34,Tiers_list!$2:$2,Tiers_list!$1:$1,,0)</f>
        <v>ACS Enterprise - Hardware - Controller Firmware Programmer  KIT - No license Provided.</v>
      </c>
      <c r="B34" s="59">
        <v>0</v>
      </c>
      <c r="C34" s="57" t="s">
        <v>645</v>
      </c>
      <c r="D34" s="2" t="s">
        <v>20</v>
      </c>
      <c r="E34" s="43" t="s">
        <v>611</v>
      </c>
    </row>
    <row r="35" spans="1:5" x14ac:dyDescent="0.25">
      <c r="A35" s="133"/>
      <c r="B35" s="162"/>
      <c r="C35" s="57"/>
      <c r="D35" s="2"/>
      <c r="E35" s="43"/>
    </row>
    <row r="36" spans="1:5" ht="18.75" x14ac:dyDescent="0.3">
      <c r="A36" s="133" t="s">
        <v>167</v>
      </c>
      <c r="B36" s="59">
        <f>+IF(B15="Parabit Systems,Inc.",B3,0)</f>
        <v>0</v>
      </c>
      <c r="C36" s="57" t="s">
        <v>170</v>
      </c>
      <c r="D36" s="2" t="s">
        <v>20</v>
      </c>
      <c r="E36" s="43" t="s">
        <v>614</v>
      </c>
    </row>
    <row r="37" spans="1:5" ht="18.75" x14ac:dyDescent="0.3">
      <c r="A37" s="133" t="s">
        <v>168</v>
      </c>
      <c r="B37" s="59">
        <f>+B36*2</f>
        <v>0</v>
      </c>
      <c r="C37" s="57" t="s">
        <v>171</v>
      </c>
      <c r="D37" s="2" t="s">
        <v>20</v>
      </c>
      <c r="E37" s="43" t="s">
        <v>614</v>
      </c>
    </row>
    <row r="38" spans="1:5" ht="18.75" x14ac:dyDescent="0.3">
      <c r="A38" s="133" t="s">
        <v>169</v>
      </c>
      <c r="B38" s="59">
        <f>0.15*B36</f>
        <v>0</v>
      </c>
      <c r="C38" s="57" t="s">
        <v>172</v>
      </c>
      <c r="D38" s="2" t="s">
        <v>20</v>
      </c>
      <c r="E38" s="43" t="s">
        <v>614</v>
      </c>
    </row>
    <row r="39" spans="1:5" x14ac:dyDescent="0.25">
      <c r="B39" s="58"/>
    </row>
    <row r="40" spans="1:5" s="77" customFormat="1" ht="31.5" x14ac:dyDescent="0.25">
      <c r="A40" s="78" t="s">
        <v>610</v>
      </c>
      <c r="B40" s="78" t="s">
        <v>164</v>
      </c>
      <c r="C40" s="79" t="str">
        <f>+C32</f>
        <v>Product Number</v>
      </c>
      <c r="D40" s="79" t="s">
        <v>175</v>
      </c>
      <c r="E40" s="76" t="s">
        <v>176</v>
      </c>
    </row>
    <row r="41" spans="1:5" ht="18.75" x14ac:dyDescent="0.25">
      <c r="A41" s="133" t="str">
        <f>_xlfn.XLOOKUP($C41,Tiers_list!$2:$2,Tiers_list!$1:$1,,0)</f>
        <v>Controller/Reader Credential Enrollment Management Module</v>
      </c>
      <c r="B41" s="56">
        <v>0</v>
      </c>
      <c r="C41" s="57" t="s">
        <v>6</v>
      </c>
      <c r="D41" s="2" t="s">
        <v>20</v>
      </c>
      <c r="E41" s="43"/>
    </row>
    <row r="42" spans="1:5" ht="30" x14ac:dyDescent="0.25">
      <c r="A42" s="133" t="str">
        <f>_xlfn.XLOOKUP($C42,Tiers_list!$2:$2,Tiers_list!$1:$1,,0)</f>
        <v>ACS system data cloud integration to 3rd party systems ACS Event Messages, Credentials and User Logs Module</v>
      </c>
      <c r="B42" s="56">
        <v>0</v>
      </c>
      <c r="C42" s="57" t="s">
        <v>9</v>
      </c>
      <c r="D42" s="2" t="s">
        <v>20</v>
      </c>
      <c r="E42" s="43"/>
    </row>
    <row r="43" spans="1:5" ht="18.75" x14ac:dyDescent="0.25">
      <c r="A43" s="133" t="str">
        <f>_xlfn.XLOOKUP($C43,Tiers_list!$2:$2,Tiers_list!$1:$1,,0)</f>
        <v>Email/Text EMR Notifier Service Module</v>
      </c>
      <c r="B43" s="56">
        <v>0</v>
      </c>
      <c r="C43" s="57" t="s">
        <v>10</v>
      </c>
      <c r="D43" s="2" t="s">
        <v>20</v>
      </c>
      <c r="E43" s="43"/>
    </row>
    <row r="44" spans="1:5" ht="18.75" x14ac:dyDescent="0.25">
      <c r="A44" s="133" t="str">
        <f>_xlfn.XLOOKUP($C44,Tiers_list!$2:$2,Tiers_list!$1:$1,,0)</f>
        <v>ACS controller Reader Remote Credential Lookup with Local learn Module</v>
      </c>
      <c r="B44" s="56">
        <v>0</v>
      </c>
      <c r="C44" s="57" t="s">
        <v>11</v>
      </c>
      <c r="D44" s="2" t="s">
        <v>20</v>
      </c>
      <c r="E44" s="43"/>
    </row>
    <row r="45" spans="1:5" ht="18.75" x14ac:dyDescent="0.25">
      <c r="A45" s="133" t="str">
        <f>_xlfn.XLOOKUP($C45,Tiers_list!$2:$2,Tiers_list!$1:$1,,0)</f>
        <v>HR &amp; Time Attendance Credential Integration Module</v>
      </c>
      <c r="B45" s="56">
        <v>0</v>
      </c>
      <c r="C45" s="57" t="s">
        <v>13</v>
      </c>
      <c r="D45" s="2" t="s">
        <v>20</v>
      </c>
      <c r="E45" s="43"/>
    </row>
    <row r="46" spans="1:5" ht="18.75" x14ac:dyDescent="0.25">
      <c r="A46" s="133" t="str">
        <f>_xlfn.XLOOKUP($C46,Tiers_list!$2:$2,Tiers_list!$1:$1,,0)</f>
        <v>ACS Hardware and Facility Sensor Data Integration(s) Module</v>
      </c>
      <c r="B46" s="56">
        <v>0</v>
      </c>
      <c r="C46" s="57" t="s">
        <v>66</v>
      </c>
      <c r="D46" s="2" t="s">
        <v>20</v>
      </c>
      <c r="E46" s="43"/>
    </row>
    <row r="47" spans="1:5" ht="30" x14ac:dyDescent="0.25">
      <c r="A47" s="259" t="str">
        <f>_xlfn.XLOOKUP($C47,Tiers_list!$2:$2,Tiers_list!$1:$1,,0)</f>
        <v>Suspend distribution of Select or All Event Messages generated by ACS hardware and software Module</v>
      </c>
      <c r="B47" s="56">
        <v>0</v>
      </c>
      <c r="C47" s="57" t="s">
        <v>70</v>
      </c>
      <c r="D47" s="2" t="s">
        <v>20</v>
      </c>
      <c r="E47" s="43"/>
    </row>
    <row r="48" spans="1:5" ht="18.75" x14ac:dyDescent="0.25">
      <c r="A48" s="259" t="str">
        <f>_xlfn.XLOOKUP($C48,Tiers_list!$2:$2,Tiers_list!$1:$1,,0)</f>
        <v>Door / Entrance Supervision Configuration Module</v>
      </c>
      <c r="B48" s="56">
        <v>0</v>
      </c>
      <c r="C48" s="57" t="s">
        <v>72</v>
      </c>
      <c r="D48" s="2" t="s">
        <v>20</v>
      </c>
      <c r="E48" s="43"/>
    </row>
    <row r="49" spans="1:5" ht="18.75" x14ac:dyDescent="0.25">
      <c r="A49" s="259" t="str">
        <f>_xlfn.XLOOKUP($C49,Tiers_list!$2:$2,Tiers_list!$1:$1,,0)</f>
        <v>ACS Controller Software Integrations DB Ecosystem Supervision Module</v>
      </c>
      <c r="B49" s="56">
        <v>0</v>
      </c>
      <c r="C49" s="57" t="s">
        <v>77</v>
      </c>
      <c r="D49" s="2" t="s">
        <v>20</v>
      </c>
      <c r="E49" s="43"/>
    </row>
    <row r="50" spans="1:5" x14ac:dyDescent="0.25">
      <c r="A50" s="260"/>
      <c r="E50" s="43"/>
    </row>
    <row r="51" spans="1:5" x14ac:dyDescent="0.25">
      <c r="A51" s="259" t="str">
        <f>_xlfn.XLOOKUP($C51,Tiers_list!$2:$2,Tiers_list!$1:$1,,0)</f>
        <v>Silent Installer with ACS Enterprise software license Cloud Key Validation</v>
      </c>
      <c r="B51" s="70">
        <v>1</v>
      </c>
      <c r="C51" s="57" t="s">
        <v>3</v>
      </c>
      <c r="D51" s="2" t="s">
        <v>20</v>
      </c>
      <c r="E51" s="43" t="s">
        <v>640</v>
      </c>
    </row>
    <row r="52" spans="1:5" ht="28.5" customHeight="1" x14ac:dyDescent="0.25">
      <c r="A52" s="259" t="str">
        <f>_xlfn.XLOOKUP($C52,Tiers_list!$2:$2,Tiers_list!$1:$1,,0)</f>
        <v>Parabit Cloud App/DB Software Instance Activation/Term Management</v>
      </c>
      <c r="B52" s="70">
        <v>1</v>
      </c>
      <c r="C52" s="57" t="s">
        <v>4</v>
      </c>
      <c r="D52" s="2" t="s">
        <v>20</v>
      </c>
      <c r="E52" s="43" t="s">
        <v>640</v>
      </c>
    </row>
    <row r="53" spans="1:5" ht="18.75" x14ac:dyDescent="0.25">
      <c r="A53" s="259" t="str">
        <f>_xlfn.XLOOKUP($C53,Tiers_list!$2:$2,Tiers_list!$1:$1,,0)</f>
        <v>ACS controller Reader Remote Credential Lookup with Local learn Module</v>
      </c>
      <c r="B53" s="56">
        <v>0</v>
      </c>
      <c r="C53" s="261" t="s">
        <v>741</v>
      </c>
      <c r="D53" s="2" t="s">
        <v>20</v>
      </c>
      <c r="E53" s="43"/>
    </row>
    <row r="54" spans="1:5" ht="18.75" x14ac:dyDescent="0.25">
      <c r="A54" s="259" t="str">
        <f>_xlfn.XLOOKUP($C54,Tiers_list!$2:$2,Tiers_list!$1:$1,,0)</f>
        <v>ACS controller Reader Remote Credential Lookup with Local learn Module</v>
      </c>
      <c r="B54" s="56">
        <v>0</v>
      </c>
      <c r="C54" s="261" t="s">
        <v>742</v>
      </c>
      <c r="D54" s="2" t="s">
        <v>20</v>
      </c>
      <c r="E54" s="43"/>
    </row>
    <row r="55" spans="1:5" ht="18.75" x14ac:dyDescent="0.25">
      <c r="A55" s="259" t="str">
        <f>_xlfn.XLOOKUP($C55,Tiers_list!$2:$2,Tiers_list!$1:$1,,0)</f>
        <v>Export &amp; Reporting</v>
      </c>
      <c r="B55" s="56">
        <v>0</v>
      </c>
      <c r="C55" s="261" t="s">
        <v>743</v>
      </c>
      <c r="D55" s="2" t="s">
        <v>20</v>
      </c>
      <c r="E55" s="43"/>
    </row>
    <row r="56" spans="1:5" ht="18.75" x14ac:dyDescent="0.25">
      <c r="A56" s="259" t="str">
        <f>_xlfn.XLOOKUP($C56,Tiers_list!$2:$2,Tiers_list!$1:$1,,0)</f>
        <v>Bulk Synchronisation ans Scheduling</v>
      </c>
      <c r="B56" s="56">
        <v>0</v>
      </c>
      <c r="C56" s="261" t="s">
        <v>744</v>
      </c>
      <c r="D56" s="2" t="s">
        <v>20</v>
      </c>
      <c r="E56" s="43"/>
    </row>
    <row r="57" spans="1:5" ht="18.75" x14ac:dyDescent="0.25">
      <c r="A57" s="259" t="str">
        <f>_xlfn.XLOOKUP($C57,Tiers_list!$2:$2,Tiers_list!$1:$1,,0)</f>
        <v>Clone &amp; Templates</v>
      </c>
      <c r="B57" s="56">
        <v>0</v>
      </c>
      <c r="C57" s="261" t="s">
        <v>745</v>
      </c>
      <c r="D57" s="2" t="s">
        <v>20</v>
      </c>
      <c r="E57" s="43"/>
    </row>
    <row r="58" spans="1:5" ht="18.75" x14ac:dyDescent="0.25">
      <c r="A58" s="259" t="str">
        <f>_xlfn.XLOOKUP($C58,Tiers_list!$2:$2,Tiers_list!$1:$1,,0)</f>
        <v>Merge Operations</v>
      </c>
      <c r="B58" s="56">
        <v>0</v>
      </c>
      <c r="C58" s="261" t="s">
        <v>746</v>
      </c>
      <c r="D58" s="2" t="s">
        <v>20</v>
      </c>
      <c r="E58" s="43"/>
    </row>
    <row r="59" spans="1:5" ht="18.75" x14ac:dyDescent="0.25">
      <c r="A59" s="259" t="str">
        <f>_xlfn.XLOOKUP($C59,Tiers_list!$2:$2,Tiers_list!$1:$1,,0)</f>
        <v>Advanced User Management</v>
      </c>
      <c r="B59" s="56">
        <v>0</v>
      </c>
      <c r="C59" s="261" t="s">
        <v>747</v>
      </c>
      <c r="D59" s="2" t="s">
        <v>20</v>
      </c>
      <c r="E59" s="43"/>
    </row>
    <row r="60" spans="1:5" ht="18.75" x14ac:dyDescent="0.25">
      <c r="A60" s="259" t="str">
        <f>_xlfn.XLOOKUP($C60,Tiers_list!$2:$2,Tiers_list!$1:$1,,0)</f>
        <v>Advanced Log Filtering</v>
      </c>
      <c r="B60" s="56">
        <v>0</v>
      </c>
      <c r="C60" s="261" t="s">
        <v>748</v>
      </c>
      <c r="D60" s="2" t="s">
        <v>20</v>
      </c>
      <c r="E60" s="43"/>
    </row>
    <row r="61" spans="1:5" ht="18.75" x14ac:dyDescent="0.25">
      <c r="A61" s="259" t="str">
        <f>_xlfn.XLOOKUP($C61,Tiers_list!$2:$2,Tiers_list!$1:$1,,0)</f>
        <v>Notification &amp; Alerts</v>
      </c>
      <c r="B61" s="56">
        <v>0</v>
      </c>
      <c r="C61" s="261" t="s">
        <v>749</v>
      </c>
      <c r="D61" s="2" t="s">
        <v>20</v>
      </c>
      <c r="E61" s="43"/>
    </row>
  </sheetData>
  <sheetProtection formatCells="0" formatColumns="0" formatRows="0" sort="0" pivotTables="0"/>
  <sortState xmlns:xlrd2="http://schemas.microsoft.com/office/spreadsheetml/2017/richdata2" ref="A37:E38">
    <sortCondition ref="C37:C38"/>
  </sortState>
  <mergeCells count="1">
    <mergeCell ref="B15:D15"/>
  </mergeCells>
  <conditionalFormatting sqref="A40:D40 D20:D30 D33:D38 B41:B49 D41:D49 D51:D61">
    <cfRule type="expression" dxfId="53" priority="12">
      <formula>"FIND(""Total"",C:C)"</formula>
    </cfRule>
  </conditionalFormatting>
  <conditionalFormatting sqref="B25">
    <cfRule type="duplicateValues" dxfId="52" priority="5"/>
  </conditionalFormatting>
  <conditionalFormatting sqref="B29">
    <cfRule type="duplicateValues" dxfId="51" priority="4"/>
  </conditionalFormatting>
  <conditionalFormatting sqref="B35">
    <cfRule type="duplicateValues" dxfId="50" priority="6"/>
  </conditionalFormatting>
  <conditionalFormatting sqref="C1 C3:C52 C62:C1048576">
    <cfRule type="duplicateValues" dxfId="49" priority="7"/>
  </conditionalFormatting>
  <conditionalFormatting sqref="C53:C61">
    <cfRule type="duplicateValues" dxfId="48" priority="2"/>
  </conditionalFormatting>
  <conditionalFormatting sqref="C53:C61">
    <cfRule type="expression" dxfId="47" priority="3">
      <formula>"FIND(""Total"",C:C)"</formula>
    </cfRule>
  </conditionalFormatting>
  <conditionalFormatting sqref="B53:B61">
    <cfRule type="expression" dxfId="46" priority="1">
      <formula>"FIND(""Total"",C:C)"</formula>
    </cfRule>
  </conditionalFormatting>
  <dataValidations count="10">
    <dataValidation allowBlank="1" showInputMessage="1" showErrorMessage="1" promptTitle="Qty of Primary Fail-Over" prompt="Enter number of instances. For tier 1, the pricing is per instance" sqref="B8" xr:uid="{1FE9C8FA-5DAB-4B82-96DA-A2BCE87839C1}"/>
    <dataValidation allowBlank="1" showInputMessage="1" showErrorMessage="1" promptTitle="Qty of Production Instances" prompt="Enter the number of instances.  Pricing for Tier 1 is per instance" sqref="B6" xr:uid="{3CF5F14F-4A3C-4353-AB43-B49FB3BBC1BC}"/>
    <dataValidation allowBlank="1" showInputMessage="1" showErrorMessage="1" promptTitle="Integrator Discount %" prompt="Comes from Inegrator Tab. If incorrect change percentage on Integrator list tab" sqref="B16" xr:uid="{6D45D1F2-C3A7-4C2A-B3EF-3A033E0E7839}"/>
    <dataValidation allowBlank="1" showInputMessage="1" showErrorMessage="1" promptTitle="End-User Discount Rate" prompt="Rate is taken from End-User list.  If incorrect, make change in that tab." sqref="B14" xr:uid="{090B58A9-9D00-42CF-ABA4-E06A228B94AA}"/>
    <dataValidation type="custom" allowBlank="1" showInputMessage="1" showErrorMessage="1" sqref="B7" xr:uid="{4756946F-0819-4FC9-ACBD-ECE1D7595B8E}">
      <formula1>AND(B7&lt;=$D$5,B7&gt;=$C$5)</formula1>
    </dataValidation>
    <dataValidation type="whole" allowBlank="1" showInputMessage="1" showErrorMessage="1" error="The number of Controllers need do be less than 11" promptTitle="Qty of Production Instances" prompt="Enter the number of Controllers.  Number needs to be less than 11 on this sheet. Use other form for 11 and more." sqref="B3" xr:uid="{339921DE-F90E-484D-8B3E-DAC8B0B16DC2}">
      <formula1>1</formula1>
      <formula2>10</formula2>
    </dataValidation>
    <dataValidation type="whole" allowBlank="1" showInputMessage="1" showErrorMessage="1" sqref="B25 B29:B30" xr:uid="{0364E12D-6402-455C-A5A9-A15F15B5006F}">
      <formula1>0</formula1>
      <formula2>1</formula2>
    </dataValidation>
    <dataValidation type="whole" allowBlank="1" showInputMessage="1" showErrorMessage="1" prompt="Quantity should match ACS Tech Software License" sqref="B30" xr:uid="{011ED785-3652-4CE4-9C2D-03001A405A72}">
      <formula1>0</formula1>
      <formula2>1</formula2>
    </dataValidation>
    <dataValidation type="whole" allowBlank="1" showInputMessage="1" showErrorMessage="1" prompt="Qty matches number of controllers" sqref="B26" xr:uid="{DCAEF710-28BB-417D-8861-E79916E3BAFC}">
      <formula1>0</formula1>
      <formula2>10</formula2>
    </dataValidation>
    <dataValidation type="whole" allowBlank="1" showInputMessage="1" showErrorMessage="1" sqref="B20:B24 B27:B28 B34" xr:uid="{384EA837-BDAE-4DF1-B362-0D3F447B0E9E}">
      <formula1>0</formula1>
      <formula2>10</formula2>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promptTitle="End User Name" prompt="Select Name From the List. Add Name on end-user list if not found" xr:uid="{59DF2DA5-8788-426A-AF16-3FD861885FF0}">
          <x14:formula1>
            <xm:f>End_user!$A:$A</xm:f>
          </x14:formula1>
          <xm:sqref>B2</xm:sqref>
        </x14:dataValidation>
        <x14:dataValidation type="list" allowBlank="1" showInputMessage="1" showErrorMessage="1" promptTitle="Integrator Name" prompt="Parabit by Default.  Any other, choose from the list or add on Integrator list if not found." xr:uid="{3A82BE98-5E76-4E8D-A5B5-D11447A412E8}">
          <x14:formula1>
            <xm:f>'Integrator List'!$A:$A</xm:f>
          </x14:formula1>
          <xm:sqref>B15:D15</xm:sqref>
        </x14:dataValidation>
        <x14:dataValidation type="list" allowBlank="1" showInputMessage="1" showErrorMessage="1" promptTitle="Service Tier" prompt="Select Tier Level from the List. Only Tier 2 to 12.  Use specific form for Tier 1" xr:uid="{76BE700D-B91C-45FD-8311-3D1D5EE8B4B6}">
          <x14:formula1>
            <xm:f>Tiers_list!$A2:$A23</xm:f>
          </x14:formula1>
          <xm:sqref>B5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8DB59-4A0C-463D-BB66-986BF80C618D}">
  <sheetPr codeName="Sheet2">
    <pageSetUpPr fitToPage="1"/>
  </sheetPr>
  <dimension ref="A1:P87"/>
  <sheetViews>
    <sheetView zoomScale="120" zoomScaleNormal="120" zoomScaleSheetLayoutView="100" workbookViewId="0">
      <pane xSplit="2" ySplit="1" topLeftCell="E53" activePane="bottomRight" state="frozen"/>
      <selection pane="topRight" activeCell="C1" sqref="C1"/>
      <selection pane="bottomLeft" activeCell="A2" sqref="A2"/>
      <selection pane="bottomRight" activeCell="L54" sqref="L54"/>
    </sheetView>
  </sheetViews>
  <sheetFormatPr defaultColWidth="8.7109375" defaultRowHeight="11.25" outlineLevelRow="2" x14ac:dyDescent="0.25"/>
  <cols>
    <col min="1" max="1" width="13.42578125" style="8" customWidth="1"/>
    <col min="2" max="2" width="12.5703125" style="7" customWidth="1"/>
    <col min="3" max="3" width="21.5703125" style="7" customWidth="1"/>
    <col min="4" max="4" width="22.85546875" style="7" customWidth="1"/>
    <col min="5" max="6" width="49.85546875" style="7" customWidth="1"/>
    <col min="7" max="7" width="9" style="7" customWidth="1"/>
    <col min="8" max="8" width="5.5703125" style="8" customWidth="1"/>
    <col min="9" max="9" width="8.42578125" style="31" bestFit="1" customWidth="1"/>
    <col min="10" max="10" width="10.85546875" style="8" customWidth="1"/>
    <col min="11" max="11" width="9.7109375" style="111" customWidth="1"/>
    <col min="12" max="12" width="8.7109375" style="8" customWidth="1"/>
    <col min="13" max="13" width="8.85546875" style="31" customWidth="1"/>
    <col min="14" max="15" width="9" style="31" customWidth="1"/>
    <col min="16" max="16" width="9.5703125" style="1" customWidth="1"/>
    <col min="17" max="17" width="15.42578125" style="1" customWidth="1"/>
    <col min="18" max="16384" width="8.7109375" style="1"/>
  </cols>
  <sheetData>
    <row r="1" spans="1:16" s="83" customFormat="1" ht="90" x14ac:dyDescent="0.25">
      <c r="A1" s="80" t="s">
        <v>14</v>
      </c>
      <c r="B1" s="80" t="s">
        <v>33</v>
      </c>
      <c r="C1" s="80" t="s">
        <v>147</v>
      </c>
      <c r="D1" s="80" t="s">
        <v>29</v>
      </c>
      <c r="E1" s="80" t="s">
        <v>726</v>
      </c>
      <c r="F1" s="80" t="s">
        <v>672</v>
      </c>
      <c r="G1" s="80" t="s">
        <v>160</v>
      </c>
      <c r="H1" s="81" t="s">
        <v>19</v>
      </c>
      <c r="I1" s="80" t="str">
        <f>CONCATENATE('Proposal Form Tier 1'!B5," ","Quantity of Primary Production Instance(s)")</f>
        <v>Tier  - 1 - 10 Quantity of Primary Production Instance(s)</v>
      </c>
      <c r="J1" s="80" t="str">
        <f>CONCATENATE('Proposal Form Tier 1'!B5," ","Total Annual Primary Instance(s) Pricing")</f>
        <v>Tier  - 1 - 10 Total Annual Primary Instance(s) Pricing</v>
      </c>
      <c r="K1" s="84" t="str">
        <f>CONCATENATE('Proposal Form Tier 1'!B5," ","Total Annual Fail-Over/DR Instance(s) Pricing")</f>
        <v>Tier  - 1 - 10 Total Annual Fail-Over/DR Instance(s) Pricing</v>
      </c>
      <c r="L1" s="80" t="str">
        <f>CONCATENATE('Proposal Form Tier 1'!B5," ","Total Quantity of Annual Fail-Over/DR Instance(s)")</f>
        <v>Tier  - 1 - 10 Total Quantity of Annual Fail-Over/DR Instance(s)</v>
      </c>
      <c r="M1" s="82" t="s">
        <v>148</v>
      </c>
      <c r="N1" s="82" t="s">
        <v>149</v>
      </c>
      <c r="O1" s="82" t="s">
        <v>150</v>
      </c>
      <c r="P1" s="80" t="s">
        <v>445</v>
      </c>
    </row>
    <row r="2" spans="1:16" ht="180" outlineLevel="2" x14ac:dyDescent="0.25">
      <c r="A2" s="2" t="s">
        <v>5</v>
      </c>
      <c r="B2" s="10" t="s">
        <v>80</v>
      </c>
      <c r="C2" s="40" t="s">
        <v>114</v>
      </c>
      <c r="D2" s="13" t="str">
        <f>_xlfn.XLOOKUP(A2,Tiers_list!$2:$2,Tiers_list!$1:$1,,0)</f>
        <v>Campus, Site, Floor, Controller, Entrance/Reader, User, Credential, Configuration, Diagnostics and Reports Module</v>
      </c>
      <c r="E2" s="10" t="s">
        <v>673</v>
      </c>
      <c r="F2" s="10" t="s">
        <v>674</v>
      </c>
      <c r="G2" s="10" t="s">
        <v>161</v>
      </c>
      <c r="H2" s="2" t="s">
        <v>20</v>
      </c>
      <c r="I2" s="60">
        <f>IF('Proposal Form Tier 1'!$B$5=Tiers_list!$A$3,+'Proposal Form Tier 1'!B6,1)</f>
        <v>1</v>
      </c>
      <c r="J2" s="3">
        <f>VLOOKUP('Proposal Form Tier 1'!$B$5,Tiers_list!$A:$BC,MATCH($A2,Tiers_list!$2:$2,0),FALSE)*('Proposal Form Tier 1'!$B$3/10)*(1-'Proposal Form Tier 1'!B14-'Proposal Form Tier 1'!B16)</f>
        <v>2025</v>
      </c>
      <c r="K2" s="3">
        <f>J2*50%</f>
        <v>1012.5</v>
      </c>
      <c r="L2" s="11">
        <f>SUM(M2:O2)</f>
        <v>1</v>
      </c>
      <c r="M2" s="60">
        <f>IF($I2&gt;0,+'Proposal Form Tier 1'!$B$8,0)</f>
        <v>0</v>
      </c>
      <c r="N2" s="60">
        <f>IF($I2&gt;0,+'Proposal Form Tier 1'!$B$9,0)</f>
        <v>0</v>
      </c>
      <c r="O2" s="60">
        <f>IF($I2&gt;0,+'Proposal Form Tier 1'!$B$10,0)</f>
        <v>1</v>
      </c>
      <c r="P2" s="3">
        <f>+(J2/(1-'Proposal Form Tier 1'!$B$16-'Proposal Form Tier 1'!$B$14))+(K2/(1-'Proposal Form Tier 1'!$B$16-'Proposal Form Tier 1'!$B$14))</f>
        <v>4050</v>
      </c>
    </row>
    <row r="3" spans="1:16" ht="90" outlineLevel="2" x14ac:dyDescent="0.25">
      <c r="A3" s="2"/>
      <c r="B3" s="10" t="s">
        <v>80</v>
      </c>
      <c r="C3" s="40" t="s">
        <v>114</v>
      </c>
      <c r="D3" s="13" t="s">
        <v>85</v>
      </c>
      <c r="E3" s="10" t="s">
        <v>30</v>
      </c>
      <c r="F3" s="10" t="s">
        <v>675</v>
      </c>
      <c r="G3" s="10"/>
      <c r="H3" s="2"/>
      <c r="I3" s="99"/>
      <c r="J3" s="51"/>
      <c r="K3" s="51"/>
      <c r="L3" s="11"/>
      <c r="M3" s="99"/>
      <c r="N3" s="99"/>
      <c r="O3" s="99"/>
      <c r="P3" s="3"/>
    </row>
    <row r="4" spans="1:16" ht="90" outlineLevel="2" x14ac:dyDescent="0.25">
      <c r="A4" s="2"/>
      <c r="B4" s="10" t="s">
        <v>80</v>
      </c>
      <c r="C4" s="40" t="s">
        <v>114</v>
      </c>
      <c r="D4" s="13" t="s">
        <v>85</v>
      </c>
      <c r="E4" s="10" t="s">
        <v>24</v>
      </c>
      <c r="F4" s="10" t="s">
        <v>676</v>
      </c>
      <c r="G4" s="10"/>
      <c r="H4" s="2"/>
      <c r="I4" s="99"/>
      <c r="J4" s="51"/>
      <c r="K4" s="51"/>
      <c r="L4" s="11"/>
      <c r="M4" s="99"/>
      <c r="N4" s="99"/>
      <c r="O4" s="99"/>
      <c r="P4" s="3"/>
    </row>
    <row r="5" spans="1:16" ht="90" outlineLevel="2" x14ac:dyDescent="0.25">
      <c r="A5" s="2"/>
      <c r="B5" s="10" t="s">
        <v>80</v>
      </c>
      <c r="C5" s="40" t="s">
        <v>114</v>
      </c>
      <c r="D5" s="13" t="s">
        <v>85</v>
      </c>
      <c r="E5" s="10" t="s">
        <v>677</v>
      </c>
      <c r="F5" s="10" t="s">
        <v>678</v>
      </c>
      <c r="G5" s="10"/>
      <c r="H5" s="2"/>
      <c r="I5" s="99"/>
      <c r="J5" s="51"/>
      <c r="K5" s="51"/>
      <c r="L5" s="11"/>
      <c r="M5" s="99"/>
      <c r="N5" s="99"/>
      <c r="O5" s="99"/>
      <c r="P5" s="3"/>
    </row>
    <row r="6" spans="1:16" ht="90" outlineLevel="2" x14ac:dyDescent="0.25">
      <c r="A6" s="2"/>
      <c r="B6" s="10" t="s">
        <v>80</v>
      </c>
      <c r="C6" s="40" t="s">
        <v>114</v>
      </c>
      <c r="D6" s="13" t="s">
        <v>85</v>
      </c>
      <c r="E6" s="10" t="s">
        <v>34</v>
      </c>
      <c r="F6" s="10" t="s">
        <v>679</v>
      </c>
      <c r="G6" s="10"/>
      <c r="H6" s="2"/>
      <c r="I6" s="99"/>
      <c r="J6" s="51"/>
      <c r="K6" s="51"/>
      <c r="L6" s="11"/>
      <c r="M6" s="99"/>
      <c r="N6" s="99"/>
      <c r="O6" s="99"/>
      <c r="P6" s="3"/>
    </row>
    <row r="7" spans="1:16" ht="78.75" outlineLevel="2" x14ac:dyDescent="0.25">
      <c r="A7" s="2"/>
      <c r="B7" s="10" t="s">
        <v>80</v>
      </c>
      <c r="C7" s="40" t="s">
        <v>114</v>
      </c>
      <c r="D7" s="13" t="s">
        <v>85</v>
      </c>
      <c r="E7" s="10" t="s">
        <v>22</v>
      </c>
      <c r="F7" s="10" t="s">
        <v>680</v>
      </c>
      <c r="G7" s="10"/>
      <c r="H7" s="2"/>
      <c r="I7" s="99"/>
      <c r="J7" s="51"/>
      <c r="K7" s="51"/>
      <c r="L7" s="11"/>
      <c r="M7" s="99"/>
      <c r="N7" s="99"/>
      <c r="O7" s="99"/>
      <c r="P7" s="3"/>
    </row>
    <row r="8" spans="1:16" ht="78.75" outlineLevel="2" x14ac:dyDescent="0.25">
      <c r="A8" s="2"/>
      <c r="B8" s="10" t="s">
        <v>80</v>
      </c>
      <c r="C8" s="40" t="s">
        <v>114</v>
      </c>
      <c r="D8" s="13" t="s">
        <v>85</v>
      </c>
      <c r="E8" s="10" t="s">
        <v>35</v>
      </c>
      <c r="F8" s="10" t="s">
        <v>681</v>
      </c>
      <c r="G8" s="10"/>
      <c r="H8" s="2"/>
      <c r="I8" s="99"/>
      <c r="J8" s="51"/>
      <c r="K8" s="51"/>
      <c r="L8" s="11"/>
      <c r="M8" s="99"/>
      <c r="N8" s="99"/>
      <c r="O8" s="99"/>
      <c r="P8" s="3"/>
    </row>
    <row r="9" spans="1:16" ht="45" outlineLevel="2" x14ac:dyDescent="0.25">
      <c r="A9" s="2"/>
      <c r="B9" s="10" t="s">
        <v>80</v>
      </c>
      <c r="C9" s="40" t="s">
        <v>114</v>
      </c>
      <c r="D9" s="13" t="s">
        <v>85</v>
      </c>
      <c r="E9" s="10" t="s">
        <v>51</v>
      </c>
      <c r="F9" s="10" t="s">
        <v>51</v>
      </c>
      <c r="G9" s="10"/>
      <c r="H9" s="2"/>
      <c r="I9" s="99"/>
      <c r="J9" s="51"/>
      <c r="K9" s="51"/>
      <c r="L9" s="11"/>
      <c r="M9" s="99"/>
      <c r="N9" s="99"/>
      <c r="O9" s="99"/>
      <c r="P9" s="3"/>
    </row>
    <row r="10" spans="1:16" ht="90" outlineLevel="2" x14ac:dyDescent="0.25">
      <c r="A10" s="2"/>
      <c r="B10" s="10" t="s">
        <v>80</v>
      </c>
      <c r="C10" s="40" t="s">
        <v>114</v>
      </c>
      <c r="D10" s="13" t="s">
        <v>85</v>
      </c>
      <c r="E10" s="10" t="s">
        <v>682</v>
      </c>
      <c r="F10" s="10" t="s">
        <v>683</v>
      </c>
      <c r="G10" s="10"/>
      <c r="H10" s="2"/>
      <c r="I10" s="99"/>
      <c r="J10" s="51"/>
      <c r="K10" s="51"/>
      <c r="L10" s="11"/>
      <c r="M10" s="99"/>
      <c r="N10" s="99"/>
      <c r="O10" s="99"/>
      <c r="P10" s="3"/>
    </row>
    <row r="11" spans="1:16" ht="90" outlineLevel="2" x14ac:dyDescent="0.25">
      <c r="A11" s="2"/>
      <c r="B11" s="10" t="s">
        <v>80</v>
      </c>
      <c r="C11" s="40" t="s">
        <v>114</v>
      </c>
      <c r="D11" s="13" t="s">
        <v>85</v>
      </c>
      <c r="E11" s="10" t="s">
        <v>36</v>
      </c>
      <c r="F11" s="10" t="s">
        <v>684</v>
      </c>
      <c r="G11" s="10"/>
      <c r="H11" s="2"/>
      <c r="I11" s="99"/>
      <c r="J11" s="51"/>
      <c r="K11" s="51"/>
      <c r="L11" s="11"/>
      <c r="M11" s="99"/>
      <c r="N11" s="99"/>
      <c r="O11" s="99"/>
      <c r="P11" s="3"/>
    </row>
    <row r="12" spans="1:16" ht="78.75" outlineLevel="2" x14ac:dyDescent="0.25">
      <c r="A12" s="2"/>
      <c r="B12" s="10" t="s">
        <v>80</v>
      </c>
      <c r="C12" s="40" t="s">
        <v>114</v>
      </c>
      <c r="D12" s="13" t="s">
        <v>85</v>
      </c>
      <c r="E12" s="10" t="s">
        <v>16</v>
      </c>
      <c r="F12" s="10" t="s">
        <v>685</v>
      </c>
      <c r="G12" s="10"/>
      <c r="H12" s="2"/>
      <c r="I12" s="99"/>
      <c r="J12" s="51"/>
      <c r="K12" s="51"/>
      <c r="L12" s="11"/>
      <c r="M12" s="99"/>
      <c r="N12" s="99"/>
      <c r="O12" s="99"/>
      <c r="P12" s="3"/>
    </row>
    <row r="13" spans="1:16" ht="90" outlineLevel="2" x14ac:dyDescent="0.25">
      <c r="A13" s="2"/>
      <c r="B13" s="10" t="s">
        <v>80</v>
      </c>
      <c r="C13" s="40" t="s">
        <v>114</v>
      </c>
      <c r="D13" s="13" t="s">
        <v>85</v>
      </c>
      <c r="E13" s="10" t="s">
        <v>23</v>
      </c>
      <c r="F13" s="10" t="s">
        <v>686</v>
      </c>
      <c r="G13" s="10"/>
      <c r="H13" s="2"/>
      <c r="I13" s="99"/>
      <c r="J13" s="51"/>
      <c r="K13" s="51"/>
      <c r="L13" s="11"/>
      <c r="M13" s="99"/>
      <c r="N13" s="99"/>
      <c r="O13" s="99"/>
      <c r="P13" s="3"/>
    </row>
    <row r="14" spans="1:16" s="257" customFormat="1" ht="213.75" outlineLevel="2" x14ac:dyDescent="0.25">
      <c r="A14" s="250"/>
      <c r="B14" s="251" t="s">
        <v>80</v>
      </c>
      <c r="C14" s="252" t="s">
        <v>114</v>
      </c>
      <c r="D14" s="253" t="s">
        <v>85</v>
      </c>
      <c r="E14" s="251" t="s">
        <v>55</v>
      </c>
      <c r="F14" s="251" t="s">
        <v>715</v>
      </c>
      <c r="G14" s="251"/>
      <c r="H14" s="250"/>
      <c r="I14" s="254"/>
      <c r="J14" s="255"/>
      <c r="K14" s="255"/>
      <c r="L14" s="256"/>
      <c r="M14" s="254"/>
      <c r="N14" s="254"/>
      <c r="O14" s="254"/>
      <c r="P14" s="255"/>
    </row>
    <row r="15" spans="1:16" ht="67.5" outlineLevel="2" x14ac:dyDescent="0.25">
      <c r="A15" s="2"/>
      <c r="B15" s="10" t="s">
        <v>80</v>
      </c>
      <c r="C15" s="40" t="s">
        <v>114</v>
      </c>
      <c r="D15" s="13" t="s">
        <v>85</v>
      </c>
      <c r="E15" s="10" t="s">
        <v>84</v>
      </c>
      <c r="F15" s="10" t="s">
        <v>687</v>
      </c>
      <c r="G15" s="10"/>
      <c r="H15" s="2"/>
      <c r="I15" s="99"/>
      <c r="J15" s="51"/>
      <c r="K15" s="51"/>
      <c r="L15" s="11"/>
      <c r="M15" s="99"/>
      <c r="N15" s="99"/>
      <c r="O15" s="99"/>
      <c r="P15" s="3"/>
    </row>
    <row r="16" spans="1:16" ht="78.75" outlineLevel="2" x14ac:dyDescent="0.25">
      <c r="A16" s="5" t="s">
        <v>6</v>
      </c>
      <c r="B16" s="10" t="s">
        <v>80</v>
      </c>
      <c r="C16" s="40" t="s">
        <v>114</v>
      </c>
      <c r="D16" s="13" t="str">
        <f>_xlfn.XLOOKUP(A16,Tiers_list!$2:$2,Tiers_list!$1:$1,,0)</f>
        <v>Controller/Reader Credential Enrollment Management Module</v>
      </c>
      <c r="E16" s="10" t="s">
        <v>37</v>
      </c>
      <c r="F16" s="10" t="s">
        <v>688</v>
      </c>
      <c r="G16" s="10" t="s">
        <v>162</v>
      </c>
      <c r="H16" s="2" t="s">
        <v>20</v>
      </c>
      <c r="I16" s="52">
        <f>_xlfn.XLOOKUP($A16,'Proposal Form Tier 1'!$C:$C,'Proposal Form Tier 1'!$B:$B,0,0)</f>
        <v>0</v>
      </c>
      <c r="J16" s="3">
        <f>VLOOKUP('Proposal Form Tier 1'!$B$5,Tiers_list!$A:$BC,MATCH($A16,Tiers_list!$2:$2,0),FALSE)*(I16/10)*(1-'Proposal Form Tier 1'!$B$16-'Proposal Form Tier 1'!$B$14)</f>
        <v>0</v>
      </c>
      <c r="K16" s="3">
        <f>J16*50%</f>
        <v>0</v>
      </c>
      <c r="L16" s="11">
        <f t="shared" ref="L16:L18" si="0">SUM(M16:O16)</f>
        <v>0</v>
      </c>
      <c r="M16" s="52"/>
      <c r="N16" s="52"/>
      <c r="O16" s="52"/>
      <c r="P16" s="3">
        <f>+(J16/(1-'Proposal Form Tier 1'!$B$16-'Proposal Form Tier 1'!$B$14))+(K16/(1-'Proposal Form Tier 1'!$B$16-'Proposal Form Tier 1'!$B$14))</f>
        <v>0</v>
      </c>
    </row>
    <row r="17" spans="1:16" ht="90" outlineLevel="2" x14ac:dyDescent="0.25">
      <c r="A17" s="2" t="s">
        <v>63</v>
      </c>
      <c r="B17" s="10" t="s">
        <v>80</v>
      </c>
      <c r="C17" s="40" t="s">
        <v>114</v>
      </c>
      <c r="D17" s="13" t="str">
        <f>_xlfn.XLOOKUP(A17,Tiers_list!$2:$2,Tiers_list!$1:$1,,0)</f>
        <v>ACS User Login Profile Management Module</v>
      </c>
      <c r="E17" s="10" t="s">
        <v>27</v>
      </c>
      <c r="F17" s="10" t="s">
        <v>689</v>
      </c>
      <c r="G17" s="10" t="s">
        <v>161</v>
      </c>
      <c r="H17" s="2" t="s">
        <v>20</v>
      </c>
      <c r="I17" s="60">
        <f>+'Proposal Form Tier 1'!$B$6</f>
        <v>1</v>
      </c>
      <c r="J17" s="3">
        <f>VLOOKUP('Proposal Form Tier 1'!$B$5,Tiers_list!$A:$BC,MATCH($A17,Tiers_list!$2:$2,0),FALSE)*('Proposal Form Tier 1'!B3/10)*(1-'Proposal Form Tier 1'!$B$16-'Proposal Form Tier 1'!$B$14)</f>
        <v>126.5625</v>
      </c>
      <c r="K17" s="3">
        <f>J17*50%</f>
        <v>63.28125</v>
      </c>
      <c r="L17" s="11">
        <f t="shared" si="0"/>
        <v>1</v>
      </c>
      <c r="M17" s="60">
        <f>IF($I17&gt;0,+'Proposal Form Tier 1'!$B$8,0)</f>
        <v>0</v>
      </c>
      <c r="N17" s="60">
        <f>IF($I17&gt;0,+'Proposal Form Tier 1'!$B$9,0)</f>
        <v>0</v>
      </c>
      <c r="O17" s="60">
        <f>IF($I17&gt;0,+'Proposal Form Tier 1'!$B$10,0)</f>
        <v>1</v>
      </c>
      <c r="P17" s="3">
        <f>+(J17/(1-'Proposal Form Tier 1'!$B$16-'Proposal Form Tier 1'!$B$14))+(K17/(1-'Proposal Form Tier 1'!$B$16-'Proposal Form Tier 1'!$B$14))</f>
        <v>253.125</v>
      </c>
    </row>
    <row r="18" spans="1:16" ht="45" outlineLevel="2" x14ac:dyDescent="0.25">
      <c r="A18" s="2" t="s">
        <v>7</v>
      </c>
      <c r="B18" s="10" t="s">
        <v>80</v>
      </c>
      <c r="C18" s="40" t="s">
        <v>114</v>
      </c>
      <c r="D18" s="13" t="str">
        <f>_xlfn.XLOOKUP(A18,Tiers_list!$2:$2,Tiers_list!$1:$1,,0)</f>
        <v>ACS Controller / User Territory Management Module</v>
      </c>
      <c r="E18" s="10" t="s">
        <v>38</v>
      </c>
      <c r="F18" s="10"/>
      <c r="G18" s="10" t="s">
        <v>161</v>
      </c>
      <c r="H18" s="2" t="s">
        <v>20</v>
      </c>
      <c r="I18" s="60">
        <f>+'Proposal Form Tier 1'!$B$6</f>
        <v>1</v>
      </c>
      <c r="J18" s="3">
        <f>VLOOKUP('Proposal Form Tier 1'!$B$5,Tiers_list!$A:$BC,MATCH($A18,Tiers_list!$2:$2,0),FALSE)*('Proposal Form Tier 1'!B3/10)*(1-'Proposal Form Tier 1'!$B$16-'Proposal Form Tier 1'!$B$14)</f>
        <v>126.5625</v>
      </c>
      <c r="K18" s="3">
        <f>J18*50%</f>
        <v>63.28125</v>
      </c>
      <c r="L18" s="11">
        <f t="shared" si="0"/>
        <v>1</v>
      </c>
      <c r="M18" s="60">
        <f>IF($I18&gt;0,+'Proposal Form Tier 1'!$B$8,0)</f>
        <v>0</v>
      </c>
      <c r="N18" s="60">
        <f>IF($I18&gt;0,+'Proposal Form Tier 1'!$B$9,0)</f>
        <v>0</v>
      </c>
      <c r="O18" s="60">
        <f>IF($I18&gt;0,+'Proposal Form Tier 1'!$B$10,0)</f>
        <v>1</v>
      </c>
      <c r="P18" s="3">
        <f>+(J18/(1-'Proposal Form Tier 1'!$B$16-'Proposal Form Tier 1'!$B$14))+(K18/(1-'Proposal Form Tier 1'!$B$16-'Proposal Form Tier 1'!$B$14))</f>
        <v>253.125</v>
      </c>
    </row>
    <row r="19" spans="1:16" ht="37.5" customHeight="1" outlineLevel="1" x14ac:dyDescent="0.25">
      <c r="A19" s="9"/>
      <c r="B19" s="124"/>
      <c r="C19" s="15" t="s">
        <v>152</v>
      </c>
      <c r="D19" s="124"/>
      <c r="E19" s="124"/>
      <c r="F19" s="124"/>
      <c r="G19" s="124"/>
      <c r="H19" s="9"/>
      <c r="I19" s="125">
        <f t="shared" ref="I19:P19" si="1">SUBTOTAL(9,I2:I18)</f>
        <v>3</v>
      </c>
      <c r="J19" s="126">
        <f t="shared" si="1"/>
        <v>2278.125</v>
      </c>
      <c r="K19" s="126">
        <f t="shared" si="1"/>
        <v>1139.0625</v>
      </c>
      <c r="L19" s="127">
        <f t="shared" si="1"/>
        <v>3</v>
      </c>
      <c r="M19" s="125">
        <f t="shared" si="1"/>
        <v>0</v>
      </c>
      <c r="N19" s="125">
        <f t="shared" si="1"/>
        <v>0</v>
      </c>
      <c r="O19" s="125">
        <f t="shared" si="1"/>
        <v>3</v>
      </c>
      <c r="P19" s="126">
        <f t="shared" si="1"/>
        <v>4556.25</v>
      </c>
    </row>
    <row r="20" spans="1:16" s="25" customFormat="1" ht="101.25" outlineLevel="2" x14ac:dyDescent="0.25">
      <c r="A20" s="5" t="s">
        <v>8</v>
      </c>
      <c r="B20" s="10" t="s">
        <v>80</v>
      </c>
      <c r="C20" s="40" t="s">
        <v>115</v>
      </c>
      <c r="D20" s="13" t="str">
        <f>_xlfn.XLOOKUP(A20,Tiers_list!$2:$2,Tiers_list!$1:$1,,0)</f>
        <v>Integration to External ACS Hardware / Software Certificate / Key software / system Module</v>
      </c>
      <c r="E20" s="10" t="s">
        <v>60</v>
      </c>
      <c r="F20" s="10" t="s">
        <v>690</v>
      </c>
      <c r="G20" s="10" t="s">
        <v>161</v>
      </c>
      <c r="H20" s="2" t="s">
        <v>20</v>
      </c>
      <c r="I20" s="60">
        <f>+'Proposal Form Tier 1'!$B$6</f>
        <v>1</v>
      </c>
      <c r="J20" s="3">
        <f>VLOOKUP('Proposal Form Tier 1'!$B$5,Tiers_list!$A:$BC,MATCH($A20,Tiers_list!$2:$2,0),FALSE)*('Proposal Form Tier 1'!B3/10)*(1-'Proposal Form Tier 1'!$B$16-'Proposal Form Tier 1'!$B$14)</f>
        <v>168.75</v>
      </c>
      <c r="K20" s="3">
        <f t="shared" ref="K20:K28" si="2">J20*50%</f>
        <v>84.375</v>
      </c>
      <c r="L20" s="11">
        <f t="shared" ref="L20:L28" si="3">SUM(M20:O20)</f>
        <v>1</v>
      </c>
      <c r="M20" s="60">
        <f>IF($I20&gt;0,+'Proposal Form Tier 1'!$B$8,0)</f>
        <v>0</v>
      </c>
      <c r="N20" s="60">
        <f>IF($I20&gt;0,+'Proposal Form Tier 1'!$B$9,0)</f>
        <v>0</v>
      </c>
      <c r="O20" s="60">
        <f>IF($I20&gt;0,+'Proposal Form Tier 1'!$B$10,0)</f>
        <v>1</v>
      </c>
      <c r="P20" s="3">
        <f>+(J20/(1-'Proposal Form Tier 1'!$B$16-'Proposal Form Tier 1'!$B$14))+(K20/(1-'Proposal Form Tier 1'!$B$16-'Proposal Form Tier 1'!$B$14))</f>
        <v>337.5</v>
      </c>
    </row>
    <row r="21" spans="1:16" s="25" customFormat="1" ht="101.25" outlineLevel="2" x14ac:dyDescent="0.25">
      <c r="A21" s="2" t="s">
        <v>9</v>
      </c>
      <c r="B21" s="10" t="s">
        <v>80</v>
      </c>
      <c r="C21" s="40" t="s">
        <v>115</v>
      </c>
      <c r="D21" s="13" t="str">
        <f>_xlfn.XLOOKUP(A21,Tiers_list!$2:$2,Tiers_list!$1:$1,,0)</f>
        <v>ACS system data cloud integration to 3rd party systems ACS Event Messages, Credentials and User Logs Module</v>
      </c>
      <c r="E21" s="10" t="s">
        <v>39</v>
      </c>
      <c r="F21" s="10" t="s">
        <v>691</v>
      </c>
      <c r="G21" s="10" t="s">
        <v>162</v>
      </c>
      <c r="H21" s="2" t="s">
        <v>20</v>
      </c>
      <c r="I21" s="52">
        <f>_xlfn.XLOOKUP($A21,'Proposal Form Tier 1'!$C:$C,'Proposal Form Tier 1'!$B:$B,0,0)</f>
        <v>0</v>
      </c>
      <c r="J21" s="3">
        <f>VLOOKUP('Proposal Form Tier 1'!$B$5,Tiers_list!$A:$BC,MATCH($A21,Tiers_list!$2:$2,0),FALSE)*(I21/10)*(1-'Proposal Form Tier 1'!$B$16-'Proposal Form Tier 1'!$B$14)</f>
        <v>0</v>
      </c>
      <c r="K21" s="3">
        <f t="shared" si="2"/>
        <v>0</v>
      </c>
      <c r="L21" s="11">
        <f t="shared" si="3"/>
        <v>0</v>
      </c>
      <c r="M21" s="52"/>
      <c r="N21" s="52"/>
      <c r="O21" s="52"/>
      <c r="P21" s="3">
        <f>+(J21/(1-'Proposal Form Tier 1'!$B$16-'Proposal Form Tier 1'!$B$14))+(K21/(1-'Proposal Form Tier 1'!$B$16-'Proposal Form Tier 1'!$B$14))</f>
        <v>0</v>
      </c>
    </row>
    <row r="22" spans="1:16" s="25" customFormat="1" ht="101.25" outlineLevel="2" x14ac:dyDescent="0.25">
      <c r="A22" s="2" t="s">
        <v>64</v>
      </c>
      <c r="B22" s="10" t="s">
        <v>80</v>
      </c>
      <c r="C22" s="40" t="s">
        <v>115</v>
      </c>
      <c r="D22" s="13" t="str">
        <f>_xlfn.XLOOKUP(A22,Tiers_list!$2:$2,Tiers_list!$1:$1,,0)</f>
        <v>ACS system data non cloud integration / parser to 3rd party systems ACS Event Messages, Credentials and User Logs Module</v>
      </c>
      <c r="E22" s="10" t="s">
        <v>40</v>
      </c>
      <c r="F22" s="10" t="s">
        <v>692</v>
      </c>
      <c r="G22" s="10" t="s">
        <v>173</v>
      </c>
      <c r="H22" s="2" t="s">
        <v>20</v>
      </c>
      <c r="I22" s="53">
        <f>_xlfn.XLOOKUP($A22,'Proposal Form Tier 1'!$C:$C,'Proposal Form Tier 1'!$B:$B,0,0)</f>
        <v>1</v>
      </c>
      <c r="J22" s="3">
        <f>IF(I22&lt;&gt;0,VLOOKUP('Proposal Form Tier 1'!$B$5,Tiers_list!$A:$BC,MATCH($A22,Tiers_list!$2:$2,0),FALSE)*('Proposal Form Tier 1'!$B$3/10)*(1-'Proposal Form Tier 1'!$B$16-'Proposal Form Tier 1'!$B$14),0)</f>
        <v>168.75</v>
      </c>
      <c r="K22" s="3">
        <f t="shared" si="2"/>
        <v>84.375</v>
      </c>
      <c r="L22" s="11">
        <f t="shared" si="3"/>
        <v>1</v>
      </c>
      <c r="M22" s="53">
        <f>IF($I22&gt;0,+'Proposal Form Tier 1'!$B$8,0)</f>
        <v>0</v>
      </c>
      <c r="N22" s="53">
        <f>IF($I22&gt;0,+'Proposal Form Tier 1'!$B$9,0)</f>
        <v>0</v>
      </c>
      <c r="O22" s="53">
        <f>IF($I22&gt;0,+'Proposal Form Tier 1'!$B$10,0)</f>
        <v>1</v>
      </c>
      <c r="P22" s="3">
        <f>+(J22/(1-'Proposal Form Tier 1'!$B$16-'Proposal Form Tier 1'!$B$14))+(K22/(1-'Proposal Form Tier 1'!$B$16-'Proposal Form Tier 1'!$B$14))</f>
        <v>337.5</v>
      </c>
    </row>
    <row r="23" spans="1:16" s="25" customFormat="1" ht="90" outlineLevel="2" x14ac:dyDescent="0.25">
      <c r="A23" s="2" t="s">
        <v>10</v>
      </c>
      <c r="B23" s="10" t="s">
        <v>80</v>
      </c>
      <c r="C23" s="40" t="s">
        <v>115</v>
      </c>
      <c r="D23" s="13" t="str">
        <f>_xlfn.XLOOKUP(A23,Tiers_list!$2:$2,Tiers_list!$1:$1,,0)</f>
        <v>Email/Text EMR Notifier Service Module</v>
      </c>
      <c r="E23" s="10" t="s">
        <v>41</v>
      </c>
      <c r="F23" s="10" t="s">
        <v>693</v>
      </c>
      <c r="G23" s="10" t="s">
        <v>162</v>
      </c>
      <c r="H23" s="2" t="s">
        <v>20</v>
      </c>
      <c r="I23" s="52">
        <f>_xlfn.XLOOKUP($A23,'Proposal Form Tier 1'!$C:$C,'Proposal Form Tier 1'!$B:$B,0,0)</f>
        <v>0</v>
      </c>
      <c r="J23" s="3">
        <f>IF(I23&lt;&gt;0,VLOOKUP('Proposal Form Tier 1'!$B$5,Tiers_list!$A:$BC,MATCH($A23,Tiers_list!$2:$2,0),FALSE)*('Proposal Form Tier 1'!$B$3/10)*(1-'Proposal Form Tier 1'!$B$16-'Proposal Form Tier 1'!$B$14),0)</f>
        <v>0</v>
      </c>
      <c r="K23" s="3">
        <f t="shared" si="2"/>
        <v>0</v>
      </c>
      <c r="L23" s="11">
        <f t="shared" si="3"/>
        <v>0</v>
      </c>
      <c r="M23" s="52"/>
      <c r="N23" s="52"/>
      <c r="O23" s="52"/>
      <c r="P23" s="3">
        <f>+(J23/(1-'Proposal Form Tier 1'!$B$16-'Proposal Form Tier 1'!$B$14))+(K23/(1-'Proposal Form Tier 1'!$B$16-'Proposal Form Tier 1'!$B$14))</f>
        <v>0</v>
      </c>
    </row>
    <row r="24" spans="1:16" s="25" customFormat="1" ht="90" outlineLevel="2" x14ac:dyDescent="0.25">
      <c r="A24" s="2" t="s">
        <v>11</v>
      </c>
      <c r="B24" s="10" t="s">
        <v>80</v>
      </c>
      <c r="C24" s="40" t="s">
        <v>115</v>
      </c>
      <c r="D24" s="13" t="str">
        <f>_xlfn.XLOOKUP(A24,Tiers_list!$2:$2,Tiers_list!$1:$1,,0)</f>
        <v>ACS controller Reader Remote Credential Lookup with Local learn Module</v>
      </c>
      <c r="E24" s="10" t="s">
        <v>694</v>
      </c>
      <c r="F24" s="10" t="s">
        <v>695</v>
      </c>
      <c r="G24" s="10" t="s">
        <v>162</v>
      </c>
      <c r="H24" s="2" t="s">
        <v>20</v>
      </c>
      <c r="I24" s="52">
        <f>_xlfn.XLOOKUP($A24,'Proposal Form Tier 1'!$C:$C,'Proposal Form Tier 1'!$B:$B,0,0)</f>
        <v>0</v>
      </c>
      <c r="J24" s="3">
        <f>IF(I24&lt;&gt;0,VLOOKUP('Proposal Form Tier 1'!$B$5,Tiers_list!$A:$BC,MATCH($A24,Tiers_list!$2:$2,0),FALSE)*('Proposal Form Tier 1'!$B$3/10)*(1-'Proposal Form Tier 1'!$B$16-'Proposal Form Tier 1'!$B$14),0)</f>
        <v>0</v>
      </c>
      <c r="K24" s="3">
        <f t="shared" si="2"/>
        <v>0</v>
      </c>
      <c r="L24" s="11">
        <f t="shared" si="3"/>
        <v>0</v>
      </c>
      <c r="M24" s="52"/>
      <c r="N24" s="52"/>
      <c r="O24" s="52"/>
      <c r="P24" s="3">
        <f>+(J24/(1-'Proposal Form Tier 1'!$B$16-'Proposal Form Tier 1'!$B$14))+(K24/(1-'Proposal Form Tier 1'!$B$16-'Proposal Form Tier 1'!$B$14))</f>
        <v>0</v>
      </c>
    </row>
    <row r="25" spans="1:16" s="25" customFormat="1" ht="90" outlineLevel="2" x14ac:dyDescent="0.25">
      <c r="A25" s="5" t="s">
        <v>65</v>
      </c>
      <c r="B25" s="10" t="s">
        <v>80</v>
      </c>
      <c r="C25" s="40" t="s">
        <v>115</v>
      </c>
      <c r="D25" s="13" t="str">
        <f>_xlfn.XLOOKUP(A25,Tiers_list!$2:$2,Tiers_list!$1:$1,,0)</f>
        <v>ACS Enterprise NYCE BIN Table Import / Optimization Module</v>
      </c>
      <c r="E25" s="10" t="s">
        <v>56</v>
      </c>
      <c r="F25" s="10" t="s">
        <v>696</v>
      </c>
      <c r="G25" s="10" t="s">
        <v>161</v>
      </c>
      <c r="H25" s="2" t="s">
        <v>20</v>
      </c>
      <c r="I25" s="60">
        <f>+'Proposal Form Tier 1'!$B$6</f>
        <v>1</v>
      </c>
      <c r="J25" s="3">
        <f>IF(I25&lt;&gt;0,VLOOKUP('Proposal Form Tier 1'!$B$5,Tiers_list!$A:$BC,MATCH($A25,Tiers_list!$2:$2,0),FALSE)*('Proposal Form Tier 1'!$B$3/10)*(1-'Proposal Form Tier 1'!$B$16-'Proposal Form Tier 1'!$B$14),0)</f>
        <v>126.5625</v>
      </c>
      <c r="K25" s="3">
        <f t="shared" si="2"/>
        <v>63.28125</v>
      </c>
      <c r="L25" s="11">
        <f t="shared" si="3"/>
        <v>1</v>
      </c>
      <c r="M25" s="60">
        <f>IF($I25&gt;0,+'Proposal Form Tier 1'!$B$8,0)</f>
        <v>0</v>
      </c>
      <c r="N25" s="60">
        <f>IF($I25&gt;0,+'Proposal Form Tier 1'!$B$9,0)</f>
        <v>0</v>
      </c>
      <c r="O25" s="60">
        <f>IF($I25&gt;0,+'Proposal Form Tier 1'!$B$10,0)</f>
        <v>1</v>
      </c>
      <c r="P25" s="3">
        <f>+(J25/(1-'Proposal Form Tier 1'!$B$16-'Proposal Form Tier 1'!$B$14))+(K25/(1-'Proposal Form Tier 1'!$B$16-'Proposal Form Tier 1'!$B$14))</f>
        <v>253.125</v>
      </c>
    </row>
    <row r="26" spans="1:16" s="25" customFormat="1" ht="78.75" outlineLevel="2" x14ac:dyDescent="0.25">
      <c r="A26" s="5" t="s">
        <v>12</v>
      </c>
      <c r="B26" s="10" t="s">
        <v>80</v>
      </c>
      <c r="C26" s="40" t="s">
        <v>115</v>
      </c>
      <c r="D26" s="13" t="str">
        <f>_xlfn.XLOOKUP(A26,Tiers_list!$2:$2,Tiers_list!$1:$1,,0)</f>
        <v>KAL ATM Management Software Integration Module</v>
      </c>
      <c r="E26" s="10" t="s">
        <v>138</v>
      </c>
      <c r="F26" s="10" t="s">
        <v>697</v>
      </c>
      <c r="G26" s="10" t="s">
        <v>161</v>
      </c>
      <c r="H26" s="2" t="s">
        <v>20</v>
      </c>
      <c r="I26" s="60">
        <f>+'Proposal Form Tier 1'!$B$6</f>
        <v>1</v>
      </c>
      <c r="J26" s="3">
        <f>IF(I26&lt;&gt;0,VLOOKUP('Proposal Form Tier 1'!$B$5,Tiers_list!$A:$BC,MATCH($A26,Tiers_list!$2:$2,0),FALSE)*('Proposal Form Tier 1'!$B$3/10)*(1-'Proposal Form Tier 1'!$B$16-'Proposal Form Tier 1'!$B$14),0)</f>
        <v>84.375</v>
      </c>
      <c r="K26" s="3">
        <f t="shared" si="2"/>
        <v>42.1875</v>
      </c>
      <c r="L26" s="11">
        <f t="shared" si="3"/>
        <v>1</v>
      </c>
      <c r="M26" s="60">
        <f>IF($I26&gt;0,+'Proposal Form Tier 1'!$B$8,0)</f>
        <v>0</v>
      </c>
      <c r="N26" s="60">
        <f>IF($I26&gt;0,+'Proposal Form Tier 1'!$B$9,0)</f>
        <v>0</v>
      </c>
      <c r="O26" s="60">
        <f>IF($I26&gt;0,+'Proposal Form Tier 1'!$B$10,0)</f>
        <v>1</v>
      </c>
      <c r="P26" s="3">
        <f>+(J26/(1-'Proposal Form Tier 1'!$B$16-'Proposal Form Tier 1'!$B$14))+(K26/(1-'Proposal Form Tier 1'!$B$16-'Proposal Form Tier 1'!$B$14))</f>
        <v>168.75</v>
      </c>
    </row>
    <row r="27" spans="1:16" s="25" customFormat="1" ht="101.25" outlineLevel="2" x14ac:dyDescent="0.25">
      <c r="A27" s="5" t="s">
        <v>13</v>
      </c>
      <c r="B27" s="10" t="s">
        <v>80</v>
      </c>
      <c r="C27" s="40" t="s">
        <v>115</v>
      </c>
      <c r="D27" s="13" t="str">
        <f>_xlfn.XLOOKUP(A27,Tiers_list!$2:$2,Tiers_list!$1:$1,,0)</f>
        <v>HR &amp; Time Attendance Credential Integration Module</v>
      </c>
      <c r="E27" s="10" t="s">
        <v>32</v>
      </c>
      <c r="F27" s="10" t="s">
        <v>698</v>
      </c>
      <c r="G27" s="10" t="s">
        <v>162</v>
      </c>
      <c r="H27" s="2" t="s">
        <v>20</v>
      </c>
      <c r="I27" s="52">
        <f>_xlfn.XLOOKUP($A27,'Proposal Form Tier 1'!$C:$C,'Proposal Form Tier 1'!$B:$B,0,0)</f>
        <v>0</v>
      </c>
      <c r="J27" s="3">
        <f>IF(I27&lt;&gt;0,VLOOKUP('Proposal Form Tier 1'!$B$5,Tiers_list!$A:$BC,MATCH($A27,Tiers_list!$2:$2,0),FALSE)*('Proposal Form Tier 1'!$B$3/10)*(1-'Proposal Form Tier 1'!$B$16-'Proposal Form Tier 1'!$B$14),0)</f>
        <v>0</v>
      </c>
      <c r="K27" s="3">
        <f t="shared" si="2"/>
        <v>0</v>
      </c>
      <c r="L27" s="11">
        <f t="shared" si="3"/>
        <v>0</v>
      </c>
      <c r="M27" s="52">
        <f>IF($I27&gt;0,+'Proposal Form Tier 1'!$B$8,0)</f>
        <v>0</v>
      </c>
      <c r="N27" s="52">
        <f>IF($I27&gt;0,+'Proposal Form Tier 1'!$B$9,0)</f>
        <v>0</v>
      </c>
      <c r="O27" s="52">
        <f>IF($I27&gt;0,+'Proposal Form Tier 1'!$B$10,0)</f>
        <v>0</v>
      </c>
      <c r="P27" s="3">
        <f>+(J27/(1-'Proposal Form Tier 1'!$B$16-'Proposal Form Tier 1'!$B$14))+(K27/(1-'Proposal Form Tier 1'!$B$16-'Proposal Form Tier 1'!$B$14))</f>
        <v>0</v>
      </c>
    </row>
    <row r="28" spans="1:16" s="25" customFormat="1" ht="101.25" outlineLevel="2" x14ac:dyDescent="0.25">
      <c r="A28" s="5" t="s">
        <v>66</v>
      </c>
      <c r="B28" s="10" t="s">
        <v>80</v>
      </c>
      <c r="C28" s="40" t="s">
        <v>115</v>
      </c>
      <c r="D28" s="13" t="str">
        <f>_xlfn.XLOOKUP(A28,Tiers_list!$2:$2,Tiers_list!$1:$1,,0)</f>
        <v>ACS Hardware and Facility Sensor Data Integration(s) Module</v>
      </c>
      <c r="E28" s="10" t="s">
        <v>47</v>
      </c>
      <c r="F28" s="10" t="s">
        <v>699</v>
      </c>
      <c r="G28" s="10" t="s">
        <v>162</v>
      </c>
      <c r="H28" s="2" t="s">
        <v>20</v>
      </c>
      <c r="I28" s="52">
        <f>_xlfn.XLOOKUP($A28,'Proposal Form Tier 1'!$C:$C,'Proposal Form Tier 1'!$B:$B,0,0)</f>
        <v>0</v>
      </c>
      <c r="J28" s="3">
        <f>IF(I28&lt;&gt;0,VLOOKUP('Proposal Form Tier 1'!$B$5,Tiers_list!$A:$BC,MATCH($A28,Tiers_list!$2:$2,0),FALSE)*('Proposal Form Tier 1'!$B$3/10)*(1-'Proposal Form Tier 1'!$B$16-'Proposal Form Tier 1'!$B$14),0)</f>
        <v>0</v>
      </c>
      <c r="K28" s="3">
        <f t="shared" si="2"/>
        <v>0</v>
      </c>
      <c r="L28" s="11">
        <f t="shared" si="3"/>
        <v>0</v>
      </c>
      <c r="M28" s="52">
        <f>IF($I28&gt;0,+'Proposal Form Tier 1'!$B$8,0)</f>
        <v>0</v>
      </c>
      <c r="N28" s="52">
        <f>IF($I28&gt;0,+'Proposal Form Tier 1'!$B$9,0)</f>
        <v>0</v>
      </c>
      <c r="O28" s="52">
        <f>IF($I28&gt;0,+'Proposal Form Tier 1'!$B$10,0)</f>
        <v>0</v>
      </c>
      <c r="P28" s="3">
        <f>+(J28/(1-'Proposal Form Tier 1'!$B$16-'Proposal Form Tier 1'!$B$14))+(K28/(1-'Proposal Form Tier 1'!$B$16-'Proposal Form Tier 1'!$B$14))</f>
        <v>0</v>
      </c>
    </row>
    <row r="29" spans="1:16" s="25" customFormat="1" ht="22.5" outlineLevel="1" x14ac:dyDescent="0.25">
      <c r="A29" s="40"/>
      <c r="B29" s="124"/>
      <c r="C29" s="15" t="s">
        <v>153</v>
      </c>
      <c r="D29" s="124"/>
      <c r="E29" s="124"/>
      <c r="F29" s="124"/>
      <c r="G29" s="124"/>
      <c r="H29" s="9"/>
      <c r="I29" s="125">
        <f t="shared" ref="I29:P29" si="4">SUBTOTAL(9,I20:I28)</f>
        <v>4</v>
      </c>
      <c r="J29" s="126">
        <f t="shared" si="4"/>
        <v>548.4375</v>
      </c>
      <c r="K29" s="126">
        <f t="shared" si="4"/>
        <v>274.21875</v>
      </c>
      <c r="L29" s="127">
        <f t="shared" si="4"/>
        <v>4</v>
      </c>
      <c r="M29" s="125">
        <f t="shared" si="4"/>
        <v>0</v>
      </c>
      <c r="N29" s="125">
        <f t="shared" si="4"/>
        <v>0</v>
      </c>
      <c r="O29" s="125">
        <f t="shared" si="4"/>
        <v>4</v>
      </c>
      <c r="P29" s="126">
        <f t="shared" si="4"/>
        <v>1096.875</v>
      </c>
    </row>
    <row r="30" spans="1:16" ht="90" outlineLevel="2" x14ac:dyDescent="0.25">
      <c r="A30" s="5" t="s">
        <v>67</v>
      </c>
      <c r="B30" s="10" t="s">
        <v>80</v>
      </c>
      <c r="C30" s="40" t="s">
        <v>117</v>
      </c>
      <c r="D30" s="13" t="str">
        <f>_xlfn.XLOOKUP(A30,Tiers_list!$2:$2,Tiers_list!$1:$1,,0)</f>
        <v>ACS User Data changed / functions executed Activity Tracking Module</v>
      </c>
      <c r="E30" s="10" t="s">
        <v>42</v>
      </c>
      <c r="F30" s="10" t="s">
        <v>700</v>
      </c>
      <c r="G30" s="10" t="s">
        <v>161</v>
      </c>
      <c r="H30" s="2" t="s">
        <v>20</v>
      </c>
      <c r="I30" s="60">
        <f>+'Proposal Form Tier 1'!$B$6</f>
        <v>1</v>
      </c>
      <c r="J30" s="3">
        <f>IF(I30&lt;&gt;0,VLOOKUP('Proposal Form Tier 1'!$B$5,Tiers_list!$A:$BC,MATCH($A30,Tiers_list!$2:$2,0),FALSE)*('Proposal Form Tier 1'!$B$3/10)*(1-'Proposal Form Tier 1'!$B$16-'Proposal Form Tier 1'!$B$14),0)</f>
        <v>126.5625</v>
      </c>
      <c r="K30" s="3">
        <f>J30*50%</f>
        <v>63.28125</v>
      </c>
      <c r="L30" s="11">
        <f t="shared" ref="L30:L33" si="5">SUM(M30:O30)</f>
        <v>1</v>
      </c>
      <c r="M30" s="60">
        <f>IF($I30&gt;0,+'Proposal Form Tier 1'!$B$8,0)</f>
        <v>0</v>
      </c>
      <c r="N30" s="60">
        <f>IF($I30&gt;0,+'Proposal Form Tier 1'!$B$9,0)</f>
        <v>0</v>
      </c>
      <c r="O30" s="60">
        <f>IF($I30&gt;0,+'Proposal Form Tier 1'!$B$10,0)</f>
        <v>1</v>
      </c>
      <c r="P30" s="3">
        <f>+(J30/(1-'Proposal Form Tier 1'!$B$16-'Proposal Form Tier 1'!$B$14))+(K30/(1-'Proposal Form Tier 1'!$B$16-'Proposal Form Tier 1'!$B$14))</f>
        <v>253.125</v>
      </c>
    </row>
    <row r="31" spans="1:16" ht="90" outlineLevel="2" x14ac:dyDescent="0.25">
      <c r="A31" s="2" t="s">
        <v>68</v>
      </c>
      <c r="B31" s="10" t="s">
        <v>80</v>
      </c>
      <c r="C31" s="40" t="s">
        <v>117</v>
      </c>
      <c r="D31" s="13" t="str">
        <f>_xlfn.XLOOKUP(A31,Tiers_list!$2:$2,Tiers_list!$1:$1,,0)</f>
        <v>ACS Hardware / Software availability monitoring Module</v>
      </c>
      <c r="E31" s="10" t="s">
        <v>43</v>
      </c>
      <c r="F31" s="10" t="s">
        <v>701</v>
      </c>
      <c r="G31" s="10" t="s">
        <v>161</v>
      </c>
      <c r="H31" s="2" t="s">
        <v>20</v>
      </c>
      <c r="I31" s="60">
        <f>+'Proposal Form Tier 1'!$B$6</f>
        <v>1</v>
      </c>
      <c r="J31" s="3">
        <f>IF(I31&lt;&gt;0,VLOOKUP('Proposal Form Tier 1'!$B$5,Tiers_list!$A:$BC,MATCH($A31,Tiers_list!$2:$2,0),FALSE)*('Proposal Form Tier 1'!$B$3/10)*(1-'Proposal Form Tier 1'!$B$16-'Proposal Form Tier 1'!$B$14),0)</f>
        <v>168.75</v>
      </c>
      <c r="K31" s="3">
        <f>J31*50%</f>
        <v>84.375</v>
      </c>
      <c r="L31" s="11">
        <f t="shared" si="5"/>
        <v>1</v>
      </c>
      <c r="M31" s="60">
        <f>IF($I31&gt;0,+'Proposal Form Tier 1'!$B$8,0)</f>
        <v>0</v>
      </c>
      <c r="N31" s="60">
        <f>IF($I31&gt;0,+'Proposal Form Tier 1'!$B$9,0)</f>
        <v>0</v>
      </c>
      <c r="O31" s="60">
        <f>IF($I31&gt;0,+'Proposal Form Tier 1'!$B$10,0)</f>
        <v>1</v>
      </c>
      <c r="P31" s="3">
        <f>+(J31/(1-'Proposal Form Tier 1'!$B$16-'Proposal Form Tier 1'!$B$14))+(K31/(1-'Proposal Form Tier 1'!$B$16-'Proposal Form Tier 1'!$B$14))</f>
        <v>337.5</v>
      </c>
    </row>
    <row r="32" spans="1:16" ht="101.25" outlineLevel="2" x14ac:dyDescent="0.25">
      <c r="A32" s="5" t="s">
        <v>69</v>
      </c>
      <c r="B32" s="10" t="s">
        <v>80</v>
      </c>
      <c r="C32" s="40" t="s">
        <v>117</v>
      </c>
      <c r="D32" s="13" t="str">
        <f>_xlfn.XLOOKUP(A32,Tiers_list!$2:$2,Tiers_list!$1:$1,,0)</f>
        <v>ACS Hardware Configuration Discrepancy Supervision, Notification and Auto Correct Service Module</v>
      </c>
      <c r="E32" s="10" t="s">
        <v>44</v>
      </c>
      <c r="F32" s="10" t="s">
        <v>702</v>
      </c>
      <c r="G32" s="10" t="s">
        <v>161</v>
      </c>
      <c r="H32" s="2" t="s">
        <v>20</v>
      </c>
      <c r="I32" s="60">
        <f>+'Proposal Form Tier 1'!$B$6</f>
        <v>1</v>
      </c>
      <c r="J32" s="3">
        <f>IF(I32&lt;&gt;0,VLOOKUP('Proposal Form Tier 1'!$B$5,Tiers_list!$A:$BC,MATCH($A32,Tiers_list!$2:$2,0),FALSE)*('Proposal Form Tier 1'!$B$3/10)*(1-'Proposal Form Tier 1'!$B$16-'Proposal Form Tier 1'!$B$14),0)</f>
        <v>126.5625</v>
      </c>
      <c r="K32" s="3">
        <f>J32*50%</f>
        <v>63.28125</v>
      </c>
      <c r="L32" s="11">
        <f t="shared" si="5"/>
        <v>1</v>
      </c>
      <c r="M32" s="60">
        <f>IF($I32&gt;0,+'Proposal Form Tier 1'!$B$8,0)</f>
        <v>0</v>
      </c>
      <c r="N32" s="60">
        <f>IF($I32&gt;0,+'Proposal Form Tier 1'!$B$9,0)</f>
        <v>0</v>
      </c>
      <c r="O32" s="60">
        <f>IF($I32&gt;0,+'Proposal Form Tier 1'!$B$10,0)</f>
        <v>1</v>
      </c>
      <c r="P32" s="3">
        <f>+(J32/(1-'Proposal Form Tier 1'!$B$16-'Proposal Form Tier 1'!$B$14))+(K32/(1-'Proposal Form Tier 1'!$B$16-'Proposal Form Tier 1'!$B$14))</f>
        <v>253.125</v>
      </c>
    </row>
    <row r="33" spans="1:16" ht="101.25" outlineLevel="2" x14ac:dyDescent="0.25">
      <c r="A33" s="2" t="s">
        <v>70</v>
      </c>
      <c r="B33" s="10" t="s">
        <v>80</v>
      </c>
      <c r="C33" s="40" t="s">
        <v>117</v>
      </c>
      <c r="D33" s="13" t="str">
        <f>_xlfn.XLOOKUP(A33,Tiers_list!$2:$2,Tiers_list!$1:$1,,0)</f>
        <v>Suspend distribution of Select or All Event Messages generated by ACS hardware and software Module</v>
      </c>
      <c r="E33" s="10" t="s">
        <v>45</v>
      </c>
      <c r="F33" s="10" t="s">
        <v>703</v>
      </c>
      <c r="G33" s="10" t="s">
        <v>162</v>
      </c>
      <c r="H33" s="2" t="s">
        <v>20</v>
      </c>
      <c r="I33" s="52">
        <f>_xlfn.XLOOKUP($A33,'Proposal Form Tier 1'!$C:$C,'Proposal Form Tier 1'!$B:$B,0,0)</f>
        <v>0</v>
      </c>
      <c r="J33" s="3">
        <f>IF(I33&lt;&gt;0,VLOOKUP('Proposal Form Tier 1'!$B$5,Tiers_list!$A:$BC,MATCH($A33,Tiers_list!$2:$2,0),FALSE)*('Proposal Form Tier 1'!$B$3/10)*(1-'Proposal Form Tier 1'!$B$16-'Proposal Form Tier 1'!$B$14),0)</f>
        <v>0</v>
      </c>
      <c r="K33" s="3">
        <f>J33*50%</f>
        <v>0</v>
      </c>
      <c r="L33" s="11">
        <f t="shared" si="5"/>
        <v>0</v>
      </c>
      <c r="M33" s="52">
        <f>IF($I33&gt;0,+'Proposal Form Tier 1'!$B$8,0)</f>
        <v>0</v>
      </c>
      <c r="N33" s="52">
        <f>IF($I33&gt;0,+'Proposal Form Tier 1'!$B$9,0)</f>
        <v>0</v>
      </c>
      <c r="O33" s="52">
        <f>IF($I33&gt;0,+'Proposal Form Tier 1'!$B$10,0)</f>
        <v>0</v>
      </c>
      <c r="P33" s="3">
        <f>+(J33/(1-'Proposal Form Tier 1'!$B$16-'Proposal Form Tier 1'!$B$14))+(K33/(1-'Proposal Form Tier 1'!$B$16-'Proposal Form Tier 1'!$B$14))</f>
        <v>0</v>
      </c>
    </row>
    <row r="34" spans="1:16" ht="33.75" outlineLevel="1" x14ac:dyDescent="0.25">
      <c r="A34" s="9"/>
      <c r="B34" s="124"/>
      <c r="C34" s="15" t="s">
        <v>154</v>
      </c>
      <c r="D34" s="124"/>
      <c r="E34" s="124"/>
      <c r="F34" s="124"/>
      <c r="G34" s="124"/>
      <c r="H34" s="9"/>
      <c r="I34" s="125">
        <f t="shared" ref="I34:P34" si="6">SUBTOTAL(9,I30:I33)</f>
        <v>3</v>
      </c>
      <c r="J34" s="126">
        <f t="shared" si="6"/>
        <v>421.875</v>
      </c>
      <c r="K34" s="126">
        <f t="shared" si="6"/>
        <v>210.9375</v>
      </c>
      <c r="L34" s="127">
        <f t="shared" si="6"/>
        <v>3</v>
      </c>
      <c r="M34" s="125">
        <f t="shared" si="6"/>
        <v>0</v>
      </c>
      <c r="N34" s="125">
        <f t="shared" si="6"/>
        <v>0</v>
      </c>
      <c r="O34" s="125">
        <f t="shared" si="6"/>
        <v>3</v>
      </c>
      <c r="P34" s="126">
        <f t="shared" si="6"/>
        <v>843.75</v>
      </c>
    </row>
    <row r="35" spans="1:16" s="4" customFormat="1" ht="101.25" outlineLevel="2" x14ac:dyDescent="0.25">
      <c r="A35" s="2" t="s">
        <v>71</v>
      </c>
      <c r="B35" s="10" t="s">
        <v>80</v>
      </c>
      <c r="C35" s="40" t="s">
        <v>116</v>
      </c>
      <c r="D35" s="13" t="str">
        <f>_xlfn.XLOOKUP(A35,Tiers_list!$2:$2,Tiers_list!$1:$1,,0)</f>
        <v>ACS Job Scheduler Service Module</v>
      </c>
      <c r="E35" s="10" t="s">
        <v>46</v>
      </c>
      <c r="F35" s="10" t="s">
        <v>704</v>
      </c>
      <c r="G35" s="10" t="s">
        <v>173</v>
      </c>
      <c r="H35" s="2" t="s">
        <v>20</v>
      </c>
      <c r="I35" s="53">
        <f>_xlfn.XLOOKUP($A35,'Proposal Form Tier 1'!$C:$C,'Proposal Form Tier 1'!$B:$B,0,0)</f>
        <v>1</v>
      </c>
      <c r="J35" s="3">
        <f>IF(I35&lt;&gt;0,VLOOKUP('Proposal Form Tier 1'!$B$5,Tiers_list!$A:$BC,MATCH($A35,Tiers_list!$2:$2,0),FALSE)*('Proposal Form Tier 1'!$B$3/10)*(1-'Proposal Form Tier 1'!$B$16-'Proposal Form Tier 1'!$B$14),0)</f>
        <v>126.5625</v>
      </c>
      <c r="K35" s="3">
        <f>J35*50%</f>
        <v>63.28125</v>
      </c>
      <c r="L35" s="11">
        <f t="shared" ref="L35:L42" si="7">SUM(M35:O35)</f>
        <v>1</v>
      </c>
      <c r="M35" s="53">
        <f>IF($I35&gt;0,+'Proposal Form Tier 1'!$B$8,0)</f>
        <v>0</v>
      </c>
      <c r="N35" s="53">
        <f>IF($I35&gt;0,+'Proposal Form Tier 1'!$B$9,0)</f>
        <v>0</v>
      </c>
      <c r="O35" s="53">
        <f>IF($I35&gt;0,+'Proposal Form Tier 1'!$B$10,0)</f>
        <v>1</v>
      </c>
      <c r="P35" s="3">
        <f>+(J35/(1-'Proposal Form Tier 1'!$B$16-'Proposal Form Tier 1'!$B$14))+(K35/(1-'Proposal Form Tier 1'!$B$16-'Proposal Form Tier 1'!$B$14))</f>
        <v>253.125</v>
      </c>
    </row>
    <row r="36" spans="1:16" ht="90" outlineLevel="2" x14ac:dyDescent="0.25">
      <c r="A36" s="5" t="s">
        <v>61</v>
      </c>
      <c r="B36" s="10" t="s">
        <v>80</v>
      </c>
      <c r="C36" s="40" t="s">
        <v>116</v>
      </c>
      <c r="D36" s="13" t="str">
        <f>_xlfn.XLOOKUP(A36,Tiers_list!$2:$2,Tiers_list!$1:$1,,0)</f>
        <v>AFH / Data Collection Service Module</v>
      </c>
      <c r="E36" s="10" t="s">
        <v>121</v>
      </c>
      <c r="F36" s="10" t="s">
        <v>705</v>
      </c>
      <c r="G36" s="10" t="s">
        <v>163</v>
      </c>
      <c r="H36" s="2" t="s">
        <v>20</v>
      </c>
      <c r="I36" s="53">
        <f>_xlfn.XLOOKUP($A36,'Proposal Form Tier 1'!$C:$C,'Proposal Form Tier 1'!$B:$B,0,0)</f>
        <v>1</v>
      </c>
      <c r="J36" s="3">
        <f>IF(I36&lt;&gt;0,VLOOKUP('Proposal Form Tier 1'!$B$5,Tiers_list!$A:$BC,MATCH($A36,Tiers_list!$2:$2,0),FALSE)*('Proposal Form Tier 1'!$B$3/10)*(1-'Proposal Form Tier 1'!$B$16-'Proposal Form Tier 1'!$B$14),0)</f>
        <v>126.5625</v>
      </c>
      <c r="K36" s="3">
        <f>J36*50%</f>
        <v>63.28125</v>
      </c>
      <c r="L36" s="11">
        <f t="shared" si="7"/>
        <v>1</v>
      </c>
      <c r="M36" s="53">
        <f>IF($I36&gt;0,+'Proposal Form Tier 1'!$B$8,0)</f>
        <v>0</v>
      </c>
      <c r="N36" s="53">
        <f>IF($I36&gt;0,+'Proposal Form Tier 1'!$B$9,0)</f>
        <v>0</v>
      </c>
      <c r="O36" s="53">
        <f>IF($I36&gt;0,+'Proposal Form Tier 1'!$B$10,0)</f>
        <v>1</v>
      </c>
      <c r="P36" s="3">
        <f>+(J36/(1-'Proposal Form Tier 1'!$B$16-'Proposal Form Tier 1'!$B$14))+(K36/(1-'Proposal Form Tier 1'!$B$16-'Proposal Form Tier 1'!$B$14))</f>
        <v>253.125</v>
      </c>
    </row>
    <row r="37" spans="1:16" ht="101.25" outlineLevel="2" x14ac:dyDescent="0.25">
      <c r="A37" s="2" t="s">
        <v>62</v>
      </c>
      <c r="B37" s="10" t="s">
        <v>80</v>
      </c>
      <c r="C37" s="40" t="s">
        <v>116</v>
      </c>
      <c r="D37" s="13" t="str">
        <f>_xlfn.XLOOKUP(A37,Tiers_list!$2:$2,Tiers_list!$1:$1,,0)</f>
        <v>Remote ACS Hardware firmware updates Module</v>
      </c>
      <c r="E37" s="10" t="s">
        <v>15</v>
      </c>
      <c r="F37" s="10" t="s">
        <v>706</v>
      </c>
      <c r="G37" s="10" t="s">
        <v>163</v>
      </c>
      <c r="H37" s="2" t="s">
        <v>20</v>
      </c>
      <c r="I37" s="53">
        <f>_xlfn.XLOOKUP($A37,'Proposal Form Tier 1'!$C:$C,'Proposal Form Tier 1'!$B:$B,0,0)</f>
        <v>1</v>
      </c>
      <c r="J37" s="3">
        <f>IF(I37&lt;&gt;0,VLOOKUP('Proposal Form Tier 1'!$B$5,Tiers_list!$A:$BC,MATCH($A37,Tiers_list!$2:$2,0),FALSE)*('Proposal Form Tier 1'!$B$3/10)*(1-'Proposal Form Tier 1'!$B$16-'Proposal Form Tier 1'!$B$14),0)</f>
        <v>168.75</v>
      </c>
      <c r="K37" s="3">
        <f>J37*50%</f>
        <v>84.375</v>
      </c>
      <c r="L37" s="11">
        <f t="shared" si="7"/>
        <v>1</v>
      </c>
      <c r="M37" s="53">
        <f>IF($I37&gt;0,+'Proposal Form Tier 1'!$B$8,0)</f>
        <v>0</v>
      </c>
      <c r="N37" s="53">
        <f>IF($I37&gt;0,+'Proposal Form Tier 1'!$B$9,0)</f>
        <v>0</v>
      </c>
      <c r="O37" s="53">
        <f>IF($I37&gt;0,+'Proposal Form Tier 1'!$B$10,0)</f>
        <v>1</v>
      </c>
      <c r="P37" s="3">
        <f>+(J37/(1-'Proposal Form Tier 1'!$B$16-'Proposal Form Tier 1'!$B$14))+(K37/(1-'Proposal Form Tier 1'!$B$16-'Proposal Form Tier 1'!$B$14))</f>
        <v>337.5</v>
      </c>
    </row>
    <row r="38" spans="1:16" ht="78.75" outlineLevel="2" x14ac:dyDescent="0.25">
      <c r="A38" s="5" t="s">
        <v>72</v>
      </c>
      <c r="B38" s="10" t="s">
        <v>80</v>
      </c>
      <c r="C38" s="40" t="s">
        <v>116</v>
      </c>
      <c r="D38" s="13" t="str">
        <f>_xlfn.XLOOKUP(A38,Tiers_list!$2:$2,Tiers_list!$1:$1,,0)</f>
        <v>Door / Entrance Supervision Configuration Module</v>
      </c>
      <c r="E38" s="10" t="s">
        <v>17</v>
      </c>
      <c r="F38" s="10" t="s">
        <v>707</v>
      </c>
      <c r="G38" s="10" t="s">
        <v>162</v>
      </c>
      <c r="H38" s="2" t="s">
        <v>20</v>
      </c>
      <c r="I38" s="52">
        <f>_xlfn.XLOOKUP($A38,'Proposal Form Tier 1'!$C:$C,'Proposal Form Tier 1'!$B:$B,0,0)</f>
        <v>0</v>
      </c>
      <c r="J38" s="3">
        <f>IF(I38&lt;&gt;0,VLOOKUP('Proposal Form Tier 1'!$B$5,Tiers_list!$A:$BC,MATCH($A38,Tiers_list!$2:$2,0),FALSE)*('Proposal Form Tier 1'!$B$3/10)*(1-'Proposal Form Tier 1'!$B$16-'Proposal Form Tier 1'!$B$14),0)</f>
        <v>0</v>
      </c>
      <c r="K38" s="3">
        <f>J38*50%</f>
        <v>0</v>
      </c>
      <c r="L38" s="11">
        <f t="shared" si="7"/>
        <v>0</v>
      </c>
      <c r="M38" s="52">
        <f>IF($I38&gt;0,+'Proposal Form Tier 1'!$B$8,0)</f>
        <v>0</v>
      </c>
      <c r="N38" s="52">
        <f>IF($I38&gt;0,+'Proposal Form Tier 1'!$B$9,0)</f>
        <v>0</v>
      </c>
      <c r="O38" s="52">
        <f>IF($I38&gt;0,+'Proposal Form Tier 1'!$B$10,0)</f>
        <v>0</v>
      </c>
      <c r="P38" s="3">
        <f>+(J38/(1-'Proposal Form Tier 1'!$B$16-'Proposal Form Tier 1'!$B$14))+(K38/(1-'Proposal Form Tier 1'!$B$16-'Proposal Form Tier 1'!$B$14))</f>
        <v>0</v>
      </c>
    </row>
    <row r="39" spans="1:16" ht="90" outlineLevel="2" x14ac:dyDescent="0.25">
      <c r="A39" s="5" t="s">
        <v>73</v>
      </c>
      <c r="B39" s="10" t="s">
        <v>80</v>
      </c>
      <c r="C39" s="40" t="s">
        <v>116</v>
      </c>
      <c r="D39" s="13" t="str">
        <f>_xlfn.XLOOKUP(A39,Tiers_list!$2:$2,Tiers_list!$1:$1,,0)</f>
        <v>ACS Hardware Firmware Version Supervision Module</v>
      </c>
      <c r="E39" s="10" t="s">
        <v>57</v>
      </c>
      <c r="F39" s="10" t="s">
        <v>708</v>
      </c>
      <c r="G39" s="10" t="s">
        <v>161</v>
      </c>
      <c r="H39" s="2" t="s">
        <v>20</v>
      </c>
      <c r="I39" s="60">
        <f>+'Proposal Form Tier 1'!$B$6</f>
        <v>1</v>
      </c>
      <c r="J39" s="3">
        <f>IF(I39&lt;&gt;0,VLOOKUP('Proposal Form Tier 1'!$B$5,Tiers_list!$A:$BC,MATCH($A39,Tiers_list!$2:$2,0),FALSE)*('Proposal Form Tier 1'!$B$3/10)*(1-'Proposal Form Tier 1'!$B$16-'Proposal Form Tier 1'!$B$14),0)</f>
        <v>84.375</v>
      </c>
      <c r="K39" s="3">
        <f t="shared" ref="K39:K42" si="8">J39*50%</f>
        <v>42.1875</v>
      </c>
      <c r="L39" s="11">
        <f t="shared" si="7"/>
        <v>1</v>
      </c>
      <c r="M39" s="60">
        <f>IF($I39&gt;0,+'Proposal Form Tier 1'!$B$8,0)</f>
        <v>0</v>
      </c>
      <c r="N39" s="60">
        <f>IF($I39&gt;0,+'Proposal Form Tier 1'!$B$9,0)</f>
        <v>0</v>
      </c>
      <c r="O39" s="60">
        <f>IF($I39&gt;0,+'Proposal Form Tier 1'!$B$10,0)</f>
        <v>1</v>
      </c>
      <c r="P39" s="3">
        <f>+(J39/(1-'Proposal Form Tier 1'!$B$16-'Proposal Form Tier 1'!$B$14))+(K39/(1-'Proposal Form Tier 1'!$B$16-'Proposal Form Tier 1'!$B$14))</f>
        <v>168.75</v>
      </c>
    </row>
    <row r="40" spans="1:16" ht="112.5" outlineLevel="2" x14ac:dyDescent="0.25">
      <c r="A40" s="2" t="s">
        <v>74</v>
      </c>
      <c r="B40" s="10" t="s">
        <v>80</v>
      </c>
      <c r="C40" s="40" t="s">
        <v>116</v>
      </c>
      <c r="D40" s="13" t="str">
        <f>_xlfn.XLOOKUP(A40,Tiers_list!$2:$2,Tiers_list!$1:$1,,0)</f>
        <v>ACS Data Retention / Archive Module</v>
      </c>
      <c r="E40" s="10" t="s">
        <v>48</v>
      </c>
      <c r="F40" s="10" t="s">
        <v>709</v>
      </c>
      <c r="G40" s="10" t="s">
        <v>161</v>
      </c>
      <c r="H40" s="2" t="s">
        <v>20</v>
      </c>
      <c r="I40" s="60">
        <f>+'Proposal Form Tier 1'!$B$6</f>
        <v>1</v>
      </c>
      <c r="J40" s="3">
        <f>IF(I40&lt;&gt;0,VLOOKUP('Proposal Form Tier 1'!$B$5,Tiers_list!$A:$BC,MATCH($A40,Tiers_list!$2:$2,0),FALSE)*('Proposal Form Tier 1'!$B$3/10)*(1-'Proposal Form Tier 1'!$B$16-'Proposal Form Tier 1'!$B$14),0)</f>
        <v>84.375</v>
      </c>
      <c r="K40" s="3">
        <f t="shared" si="8"/>
        <v>42.1875</v>
      </c>
      <c r="L40" s="11">
        <f t="shared" si="7"/>
        <v>1</v>
      </c>
      <c r="M40" s="60">
        <f>IF($I40&gt;0,+'Proposal Form Tier 1'!$B$8,0)</f>
        <v>0</v>
      </c>
      <c r="N40" s="60">
        <f>IF($I40&gt;0,+'Proposal Form Tier 1'!$B$9,0)</f>
        <v>0</v>
      </c>
      <c r="O40" s="60">
        <f>IF($I40&gt;0,+'Proposal Form Tier 1'!$B$10,0)</f>
        <v>1</v>
      </c>
      <c r="P40" s="3">
        <f>+(J40/(1-'Proposal Form Tier 1'!$B$16-'Proposal Form Tier 1'!$B$14))+(K40/(1-'Proposal Form Tier 1'!$B$16-'Proposal Form Tier 1'!$B$14))</f>
        <v>168.75</v>
      </c>
    </row>
    <row r="41" spans="1:16" ht="101.25" outlineLevel="2" x14ac:dyDescent="0.25">
      <c r="A41" s="2" t="s">
        <v>442</v>
      </c>
      <c r="B41" s="10" t="s">
        <v>80</v>
      </c>
      <c r="C41" s="40" t="s">
        <v>116</v>
      </c>
      <c r="D41" s="13" t="str">
        <f>_xlfn.XLOOKUP(A41,Tiers_list!$2:$2,Tiers_list!$1:$1,,0)</f>
        <v>Scheduled ACS Export / Report Distribution Module</v>
      </c>
      <c r="E41" s="10" t="s">
        <v>54</v>
      </c>
      <c r="F41" s="10" t="s">
        <v>710</v>
      </c>
      <c r="G41" s="10" t="s">
        <v>161</v>
      </c>
      <c r="H41" s="2" t="s">
        <v>20</v>
      </c>
      <c r="I41" s="60">
        <f>+'Proposal Form Tier 1'!$B$6</f>
        <v>1</v>
      </c>
      <c r="J41" s="3">
        <f>IF(I41&lt;&gt;0,VLOOKUP('Proposal Form Tier 1'!$B$5,Tiers_list!$A:$BC,MATCH($A41,Tiers_list!$2:$2,0),FALSE)*('Proposal Form Tier 1'!$B$3/10)*(1-'Proposal Form Tier 1'!$B$16-'Proposal Form Tier 1'!$B$14),0)</f>
        <v>84.375</v>
      </c>
      <c r="K41" s="3">
        <f t="shared" si="8"/>
        <v>42.1875</v>
      </c>
      <c r="L41" s="11">
        <f t="shared" si="7"/>
        <v>1</v>
      </c>
      <c r="M41" s="60">
        <f>IF($I41&gt;0,+'Proposal Form Tier 1'!$B$8,0)</f>
        <v>0</v>
      </c>
      <c r="N41" s="60">
        <f>IF($I41&gt;0,+'Proposal Form Tier 1'!$B$9,0)</f>
        <v>0</v>
      </c>
      <c r="O41" s="60">
        <f>IF($I41&gt;0,+'Proposal Form Tier 1'!$B$10,0)</f>
        <v>1</v>
      </c>
      <c r="P41" s="3">
        <f>+(J41/(1-'Proposal Form Tier 1'!$B$16-'Proposal Form Tier 1'!$B$14))+(K41/(1-'Proposal Form Tier 1'!$B$16-'Proposal Form Tier 1'!$B$14))</f>
        <v>168.75</v>
      </c>
    </row>
    <row r="42" spans="1:16" ht="101.25" outlineLevel="2" x14ac:dyDescent="0.25">
      <c r="A42" s="2" t="s">
        <v>75</v>
      </c>
      <c r="B42" s="10" t="s">
        <v>80</v>
      </c>
      <c r="C42" s="40" t="s">
        <v>116</v>
      </c>
      <c r="D42" s="13" t="str">
        <f>_xlfn.XLOOKUP(A42,Tiers_list!$2:$2,Tiers_list!$1:$1,,0)</f>
        <v>Duplicate Credential Read within ACS Ecosystem Supervision Module</v>
      </c>
      <c r="E42" s="10" t="s">
        <v>109</v>
      </c>
      <c r="F42" s="10" t="s">
        <v>711</v>
      </c>
      <c r="G42" s="10" t="s">
        <v>161</v>
      </c>
      <c r="H42" s="2" t="s">
        <v>20</v>
      </c>
      <c r="I42" s="60">
        <f>+'Proposal Form Tier 1'!$B$6</f>
        <v>1</v>
      </c>
      <c r="J42" s="3">
        <f>IF(I42&lt;&gt;0,VLOOKUP('Proposal Form Tier 1'!$B$5,Tiers_list!$A:$BC,MATCH($A42,Tiers_list!$2:$2,0),FALSE)*('Proposal Form Tier 1'!$B$3/10)*(1-'Proposal Form Tier 1'!$B$16-'Proposal Form Tier 1'!$B$14),0)</f>
        <v>126.5625</v>
      </c>
      <c r="K42" s="3">
        <f t="shared" si="8"/>
        <v>63.28125</v>
      </c>
      <c r="L42" s="11">
        <f t="shared" si="7"/>
        <v>1</v>
      </c>
      <c r="M42" s="60">
        <f>IF($I42&gt;0,+'Proposal Form Tier 1'!$B$8,0)</f>
        <v>0</v>
      </c>
      <c r="N42" s="60">
        <f>IF($I42&gt;0,+'Proposal Form Tier 1'!$B$9,0)</f>
        <v>0</v>
      </c>
      <c r="O42" s="60">
        <f>IF($I42&gt;0,+'Proposal Form Tier 1'!$B$10,0)</f>
        <v>1</v>
      </c>
      <c r="P42" s="3">
        <f>+(J42/(1-'Proposal Form Tier 1'!$B$16-'Proposal Form Tier 1'!$B$14))+(K42/(1-'Proposal Form Tier 1'!$B$16-'Proposal Form Tier 1'!$B$14))</f>
        <v>253.125</v>
      </c>
    </row>
    <row r="43" spans="1:16" ht="45" outlineLevel="1" x14ac:dyDescent="0.25">
      <c r="A43" s="9"/>
      <c r="B43" s="124"/>
      <c r="C43" s="15" t="s">
        <v>155</v>
      </c>
      <c r="D43" s="124"/>
      <c r="E43" s="124"/>
      <c r="F43" s="124"/>
      <c r="G43" s="124"/>
      <c r="H43" s="9"/>
      <c r="I43" s="125">
        <f t="shared" ref="I43:P43" si="9">SUBTOTAL(9,I35:I42)</f>
        <v>7</v>
      </c>
      <c r="J43" s="126">
        <f t="shared" si="9"/>
        <v>801.5625</v>
      </c>
      <c r="K43" s="126">
        <f t="shared" si="9"/>
        <v>400.78125</v>
      </c>
      <c r="L43" s="127">
        <f t="shared" si="9"/>
        <v>7</v>
      </c>
      <c r="M43" s="125">
        <f t="shared" si="9"/>
        <v>0</v>
      </c>
      <c r="N43" s="125">
        <f t="shared" si="9"/>
        <v>0</v>
      </c>
      <c r="O43" s="125">
        <f t="shared" si="9"/>
        <v>7</v>
      </c>
      <c r="P43" s="126">
        <f t="shared" si="9"/>
        <v>1603.125</v>
      </c>
    </row>
    <row r="44" spans="1:16" s="4" customFormat="1" ht="101.25" outlineLevel="2" x14ac:dyDescent="0.25">
      <c r="A44" s="2" t="s">
        <v>76</v>
      </c>
      <c r="B44" s="10" t="s">
        <v>80</v>
      </c>
      <c r="C44" s="40" t="s">
        <v>120</v>
      </c>
      <c r="D44" s="13" t="str">
        <f>_xlfn.XLOOKUP(A44,Tiers_list!$2:$2,Tiers_list!$1:$1,,0)</f>
        <v>ACS Facility Supervision Module</v>
      </c>
      <c r="E44" s="10" t="s">
        <v>18</v>
      </c>
      <c r="F44" s="10" t="s">
        <v>712</v>
      </c>
      <c r="G44" s="10" t="s">
        <v>161</v>
      </c>
      <c r="H44" s="2" t="s">
        <v>20</v>
      </c>
      <c r="I44" s="60">
        <f>+'Proposal Form Tier 1'!$B$6</f>
        <v>1</v>
      </c>
      <c r="J44" s="3">
        <f>IF(I44&lt;&gt;0,VLOOKUP('Proposal Form Tier 1'!$B$5,Tiers_list!$A:$BC,MATCH($A44,Tiers_list!$2:$2,0),FALSE)*('Proposal Form Tier 1'!$B$3/10)*(1-'Proposal Form Tier 1'!$B$16-'Proposal Form Tier 1'!$B$14),0)</f>
        <v>84.375</v>
      </c>
      <c r="K44" s="3">
        <f t="shared" ref="K44:K45" si="10">J44*50%</f>
        <v>42.1875</v>
      </c>
      <c r="L44" s="11">
        <f t="shared" ref="L44:L45" si="11">SUM(M44:O44)</f>
        <v>1</v>
      </c>
      <c r="M44" s="60">
        <f>IF($I44&gt;0,+'Proposal Form Tier 1'!$B$8,0)</f>
        <v>0</v>
      </c>
      <c r="N44" s="60">
        <f>IF($I44&gt;0,+'Proposal Form Tier 1'!$B$9,0)</f>
        <v>0</v>
      </c>
      <c r="O44" s="60">
        <f>IF($I44&gt;0,+'Proposal Form Tier 1'!$B$10,0)</f>
        <v>1</v>
      </c>
      <c r="P44" s="3">
        <f>+(J44/(1-'Proposal Form Tier 1'!$B$16-'Proposal Form Tier 1'!$B$14))+(K44/(1-'Proposal Form Tier 1'!$B$16-'Proposal Form Tier 1'!$B$14))</f>
        <v>168.75</v>
      </c>
    </row>
    <row r="45" spans="1:16" ht="101.25" outlineLevel="2" x14ac:dyDescent="0.25">
      <c r="A45" s="2" t="s">
        <v>77</v>
      </c>
      <c r="B45" s="10" t="s">
        <v>80</v>
      </c>
      <c r="C45" s="40" t="s">
        <v>120</v>
      </c>
      <c r="D45" s="13" t="str">
        <f>_xlfn.XLOOKUP(A45,Tiers_list!$2:$2,Tiers_list!$1:$1,,0)</f>
        <v>ACS Controller Software Integrations DB Ecosystem Supervision Module</v>
      </c>
      <c r="E45" s="10" t="s">
        <v>52</v>
      </c>
      <c r="F45" s="10" t="s">
        <v>713</v>
      </c>
      <c r="G45" s="10" t="s">
        <v>162</v>
      </c>
      <c r="H45" s="2" t="s">
        <v>20</v>
      </c>
      <c r="I45" s="52">
        <f>_xlfn.XLOOKUP($A45,'Proposal Form Tier 1'!$C:$C,'Proposal Form Tier 1'!$B:$B,0,0)</f>
        <v>0</v>
      </c>
      <c r="J45" s="3">
        <f>IF(I45&lt;&gt;0,VLOOKUP('Proposal Form Tier 1'!$B$5,Tiers_list!$A:$BC,MATCH($A45,Tiers_list!$2:$2,0),FALSE)*('Proposal Form Tier 1'!$B$3/10)*(1-'Proposal Form Tier 1'!$B$16-'Proposal Form Tier 1'!$B$14),0)</f>
        <v>0</v>
      </c>
      <c r="K45" s="3">
        <f t="shared" si="10"/>
        <v>0</v>
      </c>
      <c r="L45" s="11">
        <f t="shared" si="11"/>
        <v>0</v>
      </c>
      <c r="M45" s="52">
        <f>IF($I45&gt;0,+'Proposal Form Tier 1'!$B$8,0)</f>
        <v>0</v>
      </c>
      <c r="N45" s="52">
        <f>IF($I45&gt;0,+'Proposal Form Tier 1'!$B$9,0)</f>
        <v>0</v>
      </c>
      <c r="O45" s="52">
        <f>IF($I45&gt;0,+'Proposal Form Tier 1'!$B$10,0)</f>
        <v>0</v>
      </c>
      <c r="P45" s="3">
        <f>+(J45/(1-'Proposal Form Tier 1'!$B$16-'Proposal Form Tier 1'!$B$14))+(K45/(1-'Proposal Form Tier 1'!$B$16-'Proposal Form Tier 1'!$B$14))</f>
        <v>0</v>
      </c>
    </row>
    <row r="46" spans="1:16" ht="123.75" outlineLevel="2" x14ac:dyDescent="0.25">
      <c r="A46" s="2" t="s">
        <v>78</v>
      </c>
      <c r="B46" s="10" t="s">
        <v>80</v>
      </c>
      <c r="C46" s="40" t="s">
        <v>120</v>
      </c>
      <c r="D46" s="13" t="str">
        <f>_xlfn.XLOOKUP(A46,Tiers_list!$2:$2,Tiers_list!$1:$1,,0)</f>
        <v>Reader Credentials Accepted and Rejected Supervision Module</v>
      </c>
      <c r="E46" s="10" t="s">
        <v>49</v>
      </c>
      <c r="F46" s="10" t="s">
        <v>714</v>
      </c>
      <c r="G46" s="10" t="s">
        <v>161</v>
      </c>
      <c r="H46" s="2" t="s">
        <v>20</v>
      </c>
      <c r="I46" s="60">
        <v>1</v>
      </c>
      <c r="J46" s="3">
        <f>IF(I46&lt;&gt;0,VLOOKUP('Proposal Form Tier 1'!$B$5,Tiers_list!$A:$BC,MATCH($A46,Tiers_list!$2:$2,0),FALSE)*('Proposal Form Tier 1'!$B$3/10)*(1-'Proposal Form Tier 1'!$B$16-'Proposal Form Tier 1'!$B$14),0)</f>
        <v>126.5625</v>
      </c>
      <c r="K46" s="3">
        <f t="shared" ref="K46:K49" si="12">J46*50%</f>
        <v>63.28125</v>
      </c>
      <c r="L46" s="11">
        <f t="shared" ref="L46:L49" si="13">SUM(M46:O46)</f>
        <v>1</v>
      </c>
      <c r="M46" s="60">
        <f>IF($I46&gt;0,+'Proposal Form Tier 1'!$B$8,0)</f>
        <v>0</v>
      </c>
      <c r="N46" s="60">
        <f>IF($I46&gt;0,+'Proposal Form Tier 1'!$B$9,0)</f>
        <v>0</v>
      </c>
      <c r="O46" s="60">
        <f>IF($I46&gt;0,+'Proposal Form Tier 1'!$B$10,0)</f>
        <v>1</v>
      </c>
      <c r="P46" s="3">
        <f>+(J46/(1-'Proposal Form Tier 1'!$B$16-'Proposal Form Tier 1'!$B$14))+(K46/(1-'Proposal Form Tier 1'!$B$16-'Proposal Form Tier 1'!$B$14))</f>
        <v>253.125</v>
      </c>
    </row>
    <row r="47" spans="1:16" ht="101.25" outlineLevel="2" x14ac:dyDescent="0.25">
      <c r="A47" s="258" t="s">
        <v>741</v>
      </c>
      <c r="B47" s="10" t="s">
        <v>115</v>
      </c>
      <c r="C47" s="40" t="s">
        <v>120</v>
      </c>
      <c r="D47" s="13" t="s">
        <v>93</v>
      </c>
      <c r="E47" s="10" t="s">
        <v>716</v>
      </c>
      <c r="F47" s="10" t="s">
        <v>717</v>
      </c>
      <c r="G47" s="10" t="s">
        <v>162</v>
      </c>
      <c r="H47" s="2" t="s">
        <v>20</v>
      </c>
      <c r="I47" s="52">
        <f>_xlfn.XLOOKUP($A47,'Proposal Form Tier 1'!$C:$C,'Proposal Form Tier 1'!$B:$B,0,0)</f>
        <v>0</v>
      </c>
      <c r="J47" s="3">
        <f>IF(I47&lt;&gt;0,VLOOKUP('Proposal Form Tier 1'!$B$5,Tiers_list!$A:$BC,MATCH($A47,Tiers_list!$2:$2,0),FALSE)*('Proposal Form Tier 1'!$B$3/10)*(1-'Proposal Form Tier 1'!$B$16-'Proposal Form Tier 1'!$B$14),0)</f>
        <v>0</v>
      </c>
      <c r="K47" s="3">
        <f t="shared" si="12"/>
        <v>0</v>
      </c>
      <c r="L47" s="11">
        <f t="shared" si="13"/>
        <v>0</v>
      </c>
      <c r="M47" s="52">
        <f>IF($I47&gt;0,+'Proposal Form Tier 1'!$B$8,0)</f>
        <v>0</v>
      </c>
      <c r="N47" s="52">
        <f>IF($I47&gt;0,+'Proposal Form Tier 1'!$B$9,0)</f>
        <v>0</v>
      </c>
      <c r="O47" s="52">
        <f>IF($I47&gt;0,+'Proposal Form Tier 1'!$B$10,0)</f>
        <v>0</v>
      </c>
      <c r="P47" s="3">
        <f>+(J47/(1-'Proposal Form Tier 1'!$B$16-'Proposal Form Tier 1'!$B$14))+(K47/(1-'Proposal Form Tier 1'!$B$16-'Proposal Form Tier 1'!$B$14))</f>
        <v>0</v>
      </c>
    </row>
    <row r="48" spans="1:16" ht="90" outlineLevel="2" x14ac:dyDescent="0.25">
      <c r="A48" s="258" t="s">
        <v>742</v>
      </c>
      <c r="B48" s="10" t="s">
        <v>115</v>
      </c>
      <c r="C48" s="40" t="s">
        <v>120</v>
      </c>
      <c r="D48" s="13" t="s">
        <v>93</v>
      </c>
      <c r="E48" s="10" t="s">
        <v>718</v>
      </c>
      <c r="F48" s="10" t="s">
        <v>678</v>
      </c>
      <c r="G48" s="10" t="s">
        <v>162</v>
      </c>
      <c r="H48" s="2" t="s">
        <v>20</v>
      </c>
      <c r="I48" s="52">
        <f>_xlfn.XLOOKUP($A48,'Proposal Form Tier 1'!$C:$C,'Proposal Form Tier 1'!$B:$B,0,0)</f>
        <v>0</v>
      </c>
      <c r="J48" s="3">
        <f>IF(I48&lt;&gt;0,VLOOKUP('Proposal Form Tier 1'!$B$5,Tiers_list!$A:$BC,MATCH($A48,Tiers_list!$2:$2,0),FALSE)*('Proposal Form Tier 1'!$B$3/10)*(1-'Proposal Form Tier 1'!$B$16-'Proposal Form Tier 1'!$B$14),0)</f>
        <v>0</v>
      </c>
      <c r="K48" s="3">
        <f t="shared" si="12"/>
        <v>0</v>
      </c>
      <c r="L48" s="11">
        <f t="shared" si="13"/>
        <v>0</v>
      </c>
      <c r="M48" s="52">
        <f>IF($I48&gt;0,+'Proposal Form Tier 1'!$B$8,0)</f>
        <v>0</v>
      </c>
      <c r="N48" s="52">
        <f>IF($I48&gt;0,+'Proposal Form Tier 1'!$B$9,0)</f>
        <v>0</v>
      </c>
      <c r="O48" s="52">
        <f>IF($I48&gt;0,+'Proposal Form Tier 1'!$B$10,0)</f>
        <v>0</v>
      </c>
      <c r="P48" s="3">
        <f>+(J48/(1-'Proposal Form Tier 1'!$B$16-'Proposal Form Tier 1'!$B$14))+(K48/(1-'Proposal Form Tier 1'!$B$16-'Proposal Form Tier 1'!$B$14))</f>
        <v>0</v>
      </c>
    </row>
    <row r="49" spans="1:16" ht="78.75" outlineLevel="2" x14ac:dyDescent="0.25">
      <c r="A49" s="258" t="s">
        <v>743</v>
      </c>
      <c r="B49" s="10" t="s">
        <v>115</v>
      </c>
      <c r="C49" s="40" t="s">
        <v>120</v>
      </c>
      <c r="D49" s="13" t="s">
        <v>719</v>
      </c>
      <c r="E49" s="10" t="s">
        <v>727</v>
      </c>
      <c r="F49" s="10" t="s">
        <v>728</v>
      </c>
      <c r="G49" s="10" t="s">
        <v>162</v>
      </c>
      <c r="H49" s="2" t="s">
        <v>20</v>
      </c>
      <c r="I49" s="52">
        <f>_xlfn.XLOOKUP($A49,'Proposal Form Tier 1'!$C:$C,'Proposal Form Tier 1'!$B:$B,0,0)</f>
        <v>0</v>
      </c>
      <c r="J49" s="3">
        <f>IF(I49&lt;&gt;0,VLOOKUP('Proposal Form Tier 1'!$B$5,Tiers_list!$A:$BC,MATCH($A49,Tiers_list!$2:$2,0),FALSE)*('Proposal Form Tier 1'!$B$3/10)*(1-'Proposal Form Tier 1'!$B$16-'Proposal Form Tier 1'!$B$14),0)</f>
        <v>0</v>
      </c>
      <c r="K49" s="3">
        <f t="shared" si="12"/>
        <v>0</v>
      </c>
      <c r="L49" s="11">
        <f t="shared" si="13"/>
        <v>0</v>
      </c>
      <c r="M49" s="52">
        <f>IF($I49&gt;0,+'Proposal Form Tier 1'!$B$8,0)</f>
        <v>0</v>
      </c>
      <c r="N49" s="52">
        <f>IF($I49&gt;0,+'Proposal Form Tier 1'!$B$9,0)</f>
        <v>0</v>
      </c>
      <c r="O49" s="52">
        <f>IF($I49&gt;0,+'Proposal Form Tier 1'!$B$10,0)</f>
        <v>0</v>
      </c>
      <c r="P49" s="3">
        <f>+(J49/(1-'Proposal Form Tier 1'!$B$16-'Proposal Form Tier 1'!$B$14))+(K49/(1-'Proposal Form Tier 1'!$B$16-'Proposal Form Tier 1'!$B$14))</f>
        <v>0</v>
      </c>
    </row>
    <row r="50" spans="1:16" ht="67.5" outlineLevel="2" x14ac:dyDescent="0.25">
      <c r="A50" s="258" t="s">
        <v>744</v>
      </c>
      <c r="B50" s="10" t="s">
        <v>115</v>
      </c>
      <c r="C50" s="40" t="s">
        <v>120</v>
      </c>
      <c r="D50" s="13" t="s">
        <v>720</v>
      </c>
      <c r="E50" s="10" t="s">
        <v>729</v>
      </c>
      <c r="F50" s="10" t="s">
        <v>730</v>
      </c>
      <c r="G50" s="10" t="s">
        <v>162</v>
      </c>
      <c r="H50" s="2" t="s">
        <v>20</v>
      </c>
      <c r="I50" s="52">
        <f>_xlfn.XLOOKUP($A50,'Proposal Form Tier 1'!$C:$C,'Proposal Form Tier 1'!$B:$B,0,0)</f>
        <v>0</v>
      </c>
      <c r="J50" s="3">
        <f>IF(I50&lt;&gt;0,VLOOKUP('Proposal Form Tier 1'!$B$5,Tiers_list!$A:$BC,MATCH($A50,Tiers_list!$2:$2,0),FALSE)*('Proposal Form Tier 1'!$B$3/10)*(1-'Proposal Form Tier 1'!$B$16-'Proposal Form Tier 1'!$B$14),0)</f>
        <v>0</v>
      </c>
      <c r="K50" s="3">
        <f t="shared" ref="K50:K51" si="14">J50*50%</f>
        <v>0</v>
      </c>
      <c r="L50" s="11">
        <f t="shared" ref="L50:L51" si="15">SUM(M50:O50)</f>
        <v>0</v>
      </c>
      <c r="M50" s="52">
        <f>IF($I50&gt;0,+'Proposal Form Tier 1'!$B$8,0)</f>
        <v>0</v>
      </c>
      <c r="N50" s="52">
        <f>IF($I50&gt;0,+'Proposal Form Tier 1'!$B$9,0)</f>
        <v>0</v>
      </c>
      <c r="O50" s="52">
        <f>IF($I50&gt;0,+'Proposal Form Tier 1'!$B$10,0)</f>
        <v>0</v>
      </c>
      <c r="P50" s="3">
        <f>+(J50/(1-'Proposal Form Tier 1'!$B$16-'Proposal Form Tier 1'!$B$14))+(K50/(1-'Proposal Form Tier 1'!$B$16-'Proposal Form Tier 1'!$B$14))</f>
        <v>0</v>
      </c>
    </row>
    <row r="51" spans="1:16" ht="67.5" outlineLevel="2" x14ac:dyDescent="0.25">
      <c r="A51" s="258" t="s">
        <v>745</v>
      </c>
      <c r="B51" s="10" t="s">
        <v>115</v>
      </c>
      <c r="C51" s="40" t="s">
        <v>120</v>
      </c>
      <c r="D51" s="13" t="s">
        <v>721</v>
      </c>
      <c r="E51" s="10" t="s">
        <v>731</v>
      </c>
      <c r="F51" s="10" t="s">
        <v>732</v>
      </c>
      <c r="G51" s="10" t="s">
        <v>162</v>
      </c>
      <c r="H51" s="2" t="s">
        <v>20</v>
      </c>
      <c r="I51" s="52">
        <f>_xlfn.XLOOKUP($A51,'Proposal Form Tier 1'!$C:$C,'Proposal Form Tier 1'!$B:$B,0,0)</f>
        <v>0</v>
      </c>
      <c r="J51" s="3">
        <f>IF(I51&lt;&gt;0,VLOOKUP('Proposal Form Tier 1'!$B$5,Tiers_list!$A:$BC,MATCH($A51,Tiers_list!$2:$2,0),FALSE)*('Proposal Form Tier 1'!$B$3/10)*(1-'Proposal Form Tier 1'!$B$16-'Proposal Form Tier 1'!$B$14),0)</f>
        <v>0</v>
      </c>
      <c r="K51" s="3">
        <f t="shared" si="14"/>
        <v>0</v>
      </c>
      <c r="L51" s="11">
        <f t="shared" si="15"/>
        <v>0</v>
      </c>
      <c r="M51" s="52">
        <f>IF($I51&gt;0,+'Proposal Form Tier 1'!$B$8,0)</f>
        <v>0</v>
      </c>
      <c r="N51" s="52">
        <f>IF($I51&gt;0,+'Proposal Form Tier 1'!$B$9,0)</f>
        <v>0</v>
      </c>
      <c r="O51" s="52">
        <f>IF($I51&gt;0,+'Proposal Form Tier 1'!$B$10,0)</f>
        <v>0</v>
      </c>
      <c r="P51" s="3">
        <f>+(J51/(1-'Proposal Form Tier 1'!$B$16-'Proposal Form Tier 1'!$B$14))+(K51/(1-'Proposal Form Tier 1'!$B$16-'Proposal Form Tier 1'!$B$14))</f>
        <v>0</v>
      </c>
    </row>
    <row r="52" spans="1:16" ht="67.5" outlineLevel="2" x14ac:dyDescent="0.25">
      <c r="A52" s="258" t="s">
        <v>746</v>
      </c>
      <c r="B52" s="10" t="s">
        <v>115</v>
      </c>
      <c r="C52" s="40" t="s">
        <v>120</v>
      </c>
      <c r="D52" s="13" t="s">
        <v>722</v>
      </c>
      <c r="E52" s="10" t="s">
        <v>733</v>
      </c>
      <c r="F52" s="10" t="s">
        <v>734</v>
      </c>
      <c r="G52" s="10" t="s">
        <v>162</v>
      </c>
      <c r="H52" s="2" t="s">
        <v>20</v>
      </c>
      <c r="I52" s="52">
        <f>_xlfn.XLOOKUP($A52,'Proposal Form Tier 1'!$C:$C,'Proposal Form Tier 1'!$B:$B,0,0)</f>
        <v>0</v>
      </c>
      <c r="J52" s="3">
        <f>IF(I52&lt;&gt;0,VLOOKUP('Proposal Form Tier 1'!$B$5,Tiers_list!$A:$BC,MATCH($A52,Tiers_list!$2:$2,0),FALSE)*('Proposal Form Tier 1'!$B$3/10)*(1-'Proposal Form Tier 1'!$B$16-'Proposal Form Tier 1'!$B$14),0)</f>
        <v>0</v>
      </c>
      <c r="K52" s="3">
        <f t="shared" ref="K52:K55" si="16">J52*50%</f>
        <v>0</v>
      </c>
      <c r="L52" s="11">
        <f t="shared" ref="L52:L55" si="17">SUM(M52:O52)</f>
        <v>0</v>
      </c>
      <c r="M52" s="52">
        <f>IF($I52&gt;0,+'Proposal Form Tier 1'!$B$8,0)</f>
        <v>0</v>
      </c>
      <c r="N52" s="52">
        <f>IF($I52&gt;0,+'Proposal Form Tier 1'!$B$9,0)</f>
        <v>0</v>
      </c>
      <c r="O52" s="52">
        <f>IF($I52&gt;0,+'Proposal Form Tier 1'!$B$10,0)</f>
        <v>0</v>
      </c>
      <c r="P52" s="3">
        <f>+(J52/(1-'Proposal Form Tier 1'!$B$16-'Proposal Form Tier 1'!$B$14))+(K52/(1-'Proposal Form Tier 1'!$B$16-'Proposal Form Tier 1'!$B$14))</f>
        <v>0</v>
      </c>
    </row>
    <row r="53" spans="1:16" ht="67.5" outlineLevel="2" x14ac:dyDescent="0.25">
      <c r="A53" s="258" t="s">
        <v>747</v>
      </c>
      <c r="B53" s="10" t="s">
        <v>115</v>
      </c>
      <c r="C53" s="40" t="s">
        <v>120</v>
      </c>
      <c r="D53" s="13" t="s">
        <v>723</v>
      </c>
      <c r="E53" s="10" t="s">
        <v>735</v>
      </c>
      <c r="F53" s="10" t="s">
        <v>736</v>
      </c>
      <c r="G53" s="10" t="s">
        <v>162</v>
      </c>
      <c r="H53" s="2" t="s">
        <v>20</v>
      </c>
      <c r="I53" s="52">
        <f>_xlfn.XLOOKUP($A53,'Proposal Form Tier 1'!$C:$C,'Proposal Form Tier 1'!$B:$B,0,0)</f>
        <v>0</v>
      </c>
      <c r="J53" s="3">
        <f>IF(I53&lt;&gt;0,VLOOKUP('Proposal Form Tier 1'!$B$5,Tiers_list!$A:$BC,MATCH($A53,Tiers_list!$2:$2,0),FALSE)*('Proposal Form Tier 1'!$B$3/10)*(1-'Proposal Form Tier 1'!$B$16-'Proposal Form Tier 1'!$B$14),0)</f>
        <v>0</v>
      </c>
      <c r="K53" s="3">
        <f t="shared" si="16"/>
        <v>0</v>
      </c>
      <c r="L53" s="11">
        <f t="shared" si="17"/>
        <v>0</v>
      </c>
      <c r="M53" s="52">
        <f>IF($I53&gt;0,+'Proposal Form Tier 1'!$B$8,0)</f>
        <v>0</v>
      </c>
      <c r="N53" s="52">
        <f>IF($I53&gt;0,+'Proposal Form Tier 1'!$B$9,0)</f>
        <v>0</v>
      </c>
      <c r="O53" s="52">
        <f>IF($I53&gt;0,+'Proposal Form Tier 1'!$B$10,0)</f>
        <v>0</v>
      </c>
      <c r="P53" s="3">
        <f>+(J53/(1-'Proposal Form Tier 1'!$B$16-'Proposal Form Tier 1'!$B$14))+(K53/(1-'Proposal Form Tier 1'!$B$16-'Proposal Form Tier 1'!$B$14))</f>
        <v>0</v>
      </c>
    </row>
    <row r="54" spans="1:16" ht="67.5" outlineLevel="2" x14ac:dyDescent="0.25">
      <c r="A54" s="258" t="s">
        <v>748</v>
      </c>
      <c r="B54" s="10" t="s">
        <v>115</v>
      </c>
      <c r="C54" s="40" t="s">
        <v>120</v>
      </c>
      <c r="D54" s="13" t="s">
        <v>724</v>
      </c>
      <c r="E54" s="10" t="s">
        <v>737</v>
      </c>
      <c r="F54" s="10" t="s">
        <v>738</v>
      </c>
      <c r="G54" s="10" t="s">
        <v>162</v>
      </c>
      <c r="H54" s="2" t="s">
        <v>20</v>
      </c>
      <c r="I54" s="52">
        <f>_xlfn.XLOOKUP($A54,'Proposal Form Tier 1'!$C:$C,'Proposal Form Tier 1'!$B:$B,0,0)</f>
        <v>0</v>
      </c>
      <c r="J54" s="3">
        <f>IF(I54&lt;&gt;0,VLOOKUP('Proposal Form Tier 1'!$B$5,Tiers_list!$A:$BC,MATCH($A54,Tiers_list!$2:$2,0),FALSE)*('Proposal Form Tier 1'!$B$3/10)*(1-'Proposal Form Tier 1'!$B$16-'Proposal Form Tier 1'!$B$14),0)</f>
        <v>0</v>
      </c>
      <c r="K54" s="3">
        <f t="shared" si="16"/>
        <v>0</v>
      </c>
      <c r="L54" s="11">
        <f t="shared" si="17"/>
        <v>0</v>
      </c>
      <c r="M54" s="52">
        <f>IF($I54&gt;0,+'Proposal Form Tier 1'!$B$8,0)</f>
        <v>0</v>
      </c>
      <c r="N54" s="52">
        <f>IF($I54&gt;0,+'Proposal Form Tier 1'!$B$9,0)</f>
        <v>0</v>
      </c>
      <c r="O54" s="52">
        <f>IF($I54&gt;0,+'Proposal Form Tier 1'!$B$10,0)</f>
        <v>0</v>
      </c>
      <c r="P54" s="3">
        <f>+(J54/(1-'Proposal Form Tier 1'!$B$16-'Proposal Form Tier 1'!$B$14))+(K54/(1-'Proposal Form Tier 1'!$B$16-'Proposal Form Tier 1'!$B$14))</f>
        <v>0</v>
      </c>
    </row>
    <row r="55" spans="1:16" ht="67.5" outlineLevel="2" x14ac:dyDescent="0.25">
      <c r="A55" s="258" t="s">
        <v>749</v>
      </c>
      <c r="B55" s="10" t="s">
        <v>115</v>
      </c>
      <c r="C55" s="40" t="s">
        <v>120</v>
      </c>
      <c r="D55" s="13" t="s">
        <v>725</v>
      </c>
      <c r="E55" s="10" t="s">
        <v>739</v>
      </c>
      <c r="F55" s="10" t="s">
        <v>740</v>
      </c>
      <c r="G55" s="10" t="s">
        <v>162</v>
      </c>
      <c r="H55" s="2" t="s">
        <v>20</v>
      </c>
      <c r="I55" s="52">
        <f>_xlfn.XLOOKUP($A55,'Proposal Form Tier 1'!$C:$C,'Proposal Form Tier 1'!$B:$B,0,0)</f>
        <v>0</v>
      </c>
      <c r="J55" s="3">
        <f>IF(I55&lt;&gt;0,VLOOKUP('Proposal Form Tier 1'!$B$5,Tiers_list!$A:$BC,MATCH($A55,Tiers_list!$2:$2,0),FALSE)*('Proposal Form Tier 1'!$B$3/10)*(1-'Proposal Form Tier 1'!$B$16-'Proposal Form Tier 1'!$B$14),0)</f>
        <v>0</v>
      </c>
      <c r="K55" s="3">
        <f t="shared" si="16"/>
        <v>0</v>
      </c>
      <c r="L55" s="11">
        <f t="shared" si="17"/>
        <v>0</v>
      </c>
      <c r="M55" s="52">
        <f>IF($I55&gt;0,+'Proposal Form Tier 1'!$B$8,0)</f>
        <v>0</v>
      </c>
      <c r="N55" s="52">
        <f>IF($I55&gt;0,+'Proposal Form Tier 1'!$B$9,0)</f>
        <v>0</v>
      </c>
      <c r="O55" s="52">
        <f>IF($I55&gt;0,+'Proposal Form Tier 1'!$B$10,0)</f>
        <v>0</v>
      </c>
      <c r="P55" s="3">
        <f>+(J55/(1-'Proposal Form Tier 1'!$B$16-'Proposal Form Tier 1'!$B$14))+(K55/(1-'Proposal Form Tier 1'!$B$16-'Proposal Form Tier 1'!$B$14))</f>
        <v>0</v>
      </c>
    </row>
    <row r="56" spans="1:16" ht="45" outlineLevel="1" x14ac:dyDescent="0.25">
      <c r="A56" s="9"/>
      <c r="B56" s="124"/>
      <c r="C56" s="15" t="s">
        <v>156</v>
      </c>
      <c r="D56" s="124"/>
      <c r="E56" s="124"/>
      <c r="F56" s="124"/>
      <c r="G56" s="124"/>
      <c r="H56" s="9"/>
      <c r="I56" s="125">
        <f>SUBTOTAL(9,I44:I55)</f>
        <v>2</v>
      </c>
      <c r="J56" s="126">
        <f>SUBTOTAL(9,J44:J55)</f>
        <v>210.9375</v>
      </c>
      <c r="K56" s="126">
        <f>SUBTOTAL(9,K44:K55)</f>
        <v>105.46875</v>
      </c>
      <c r="L56" s="127">
        <f>SUBTOTAL(9,L44:L55)</f>
        <v>2</v>
      </c>
      <c r="M56" s="125">
        <f>SUBTOTAL(9,M44:M55)</f>
        <v>0</v>
      </c>
      <c r="N56" s="125">
        <f>SUBTOTAL(9,N44:N55)</f>
        <v>0</v>
      </c>
      <c r="O56" s="125">
        <f>SUBTOTAL(9,O44:O55)</f>
        <v>2</v>
      </c>
      <c r="P56" s="126">
        <f>SUBTOTAL(9,P44:P55)</f>
        <v>421.875</v>
      </c>
    </row>
    <row r="57" spans="1:16" x14ac:dyDescent="0.25">
      <c r="A57" s="40"/>
      <c r="B57" s="124"/>
      <c r="C57" s="15" t="s">
        <v>151</v>
      </c>
      <c r="D57" s="124"/>
      <c r="E57" s="188"/>
      <c r="F57" s="188"/>
      <c r="G57" s="124"/>
      <c r="H57" s="9"/>
      <c r="I57" s="178">
        <f>SUBTOTAL(9,I2:I55)</f>
        <v>19</v>
      </c>
      <c r="J57" s="179">
        <f>SUBTOTAL(9,J2:J55)</f>
        <v>4260.9375</v>
      </c>
      <c r="K57" s="179">
        <f>SUBTOTAL(9,K2:K55)</f>
        <v>2130.46875</v>
      </c>
      <c r="L57" s="180">
        <f>SUBTOTAL(9,L2:L55)</f>
        <v>19</v>
      </c>
      <c r="M57" s="178">
        <f>SUBTOTAL(9,M2:M55)</f>
        <v>0</v>
      </c>
      <c r="N57" s="178">
        <f>SUBTOTAL(9,N2:N55)</f>
        <v>0</v>
      </c>
      <c r="O57" s="178">
        <f>SUBTOTAL(9,O2:O55)</f>
        <v>19</v>
      </c>
      <c r="P57" s="179">
        <f>SUBTOTAL(9,P2:P55)</f>
        <v>8521.875</v>
      </c>
    </row>
    <row r="58" spans="1:16" x14ac:dyDescent="0.25">
      <c r="A58" s="135"/>
      <c r="C58" s="147"/>
      <c r="I58" s="148"/>
      <c r="J58" s="149"/>
      <c r="K58" s="149"/>
      <c r="L58" s="150"/>
      <c r="M58" s="148"/>
      <c r="N58" s="148"/>
      <c r="O58" s="148"/>
      <c r="P58" s="149"/>
    </row>
    <row r="59" spans="1:16" x14ac:dyDescent="0.25">
      <c r="A59" s="135"/>
      <c r="C59" s="147"/>
      <c r="I59" s="148"/>
      <c r="J59" s="149"/>
      <c r="K59" s="149"/>
      <c r="L59" s="150"/>
      <c r="M59" s="148"/>
      <c r="N59" s="148"/>
      <c r="O59" s="148"/>
      <c r="P59" s="149"/>
    </row>
    <row r="60" spans="1:16" ht="22.5" x14ac:dyDescent="0.25">
      <c r="A60" s="80" t="s">
        <v>14</v>
      </c>
      <c r="B60" s="80" t="s">
        <v>33</v>
      </c>
      <c r="C60" s="80" t="s">
        <v>147</v>
      </c>
      <c r="D60" s="80"/>
      <c r="E60" s="80"/>
      <c r="F60" s="80"/>
      <c r="G60" s="80" t="s">
        <v>160</v>
      </c>
      <c r="H60" s="81" t="s">
        <v>19</v>
      </c>
      <c r="I60" s="84" t="s">
        <v>1</v>
      </c>
      <c r="J60" s="84" t="s">
        <v>622</v>
      </c>
      <c r="K60" s="108"/>
      <c r="L60" s="80"/>
      <c r="M60" s="80"/>
      <c r="N60" s="80"/>
      <c r="O60" s="80"/>
      <c r="P60" s="80" t="s">
        <v>623</v>
      </c>
    </row>
    <row r="61" spans="1:16" s="4" customFormat="1" ht="33.75" outlineLevel="2" x14ac:dyDescent="0.25">
      <c r="A61" s="29" t="s">
        <v>157</v>
      </c>
      <c r="B61" s="10" t="s">
        <v>80</v>
      </c>
      <c r="C61" s="40" t="s">
        <v>21</v>
      </c>
      <c r="D61" s="13"/>
      <c r="E61" s="10" t="s">
        <v>21</v>
      </c>
      <c r="F61" s="10"/>
      <c r="G61" s="10" t="s">
        <v>162</v>
      </c>
      <c r="H61" s="2"/>
      <c r="I61" s="52">
        <f>_xlfn.XLOOKUP($A61,'Proposal Form Tier 1'!$C:$C,'Proposal Form Tier 1'!$B:$B,0,0)</f>
        <v>1</v>
      </c>
      <c r="J61" s="51">
        <f>VLOOKUP('Proposal Form Tier 1'!$B$5,Tiers_list!$A:$AO,MATCH($A61,Tiers_list!$2:$2,0),FALSE)*(I61*(1-'Proposal Form Tier 1'!$B$14-'Proposal Form Tier 1'!$B$13))</f>
        <v>5000</v>
      </c>
      <c r="K61" s="3"/>
      <c r="L61" s="11"/>
      <c r="M61" s="52"/>
      <c r="N61" s="52"/>
      <c r="O61" s="52"/>
      <c r="P61" s="3">
        <f>+(J61/(1-'Proposal Form Tier 1'!$B$16-'Proposal Form Tier 1'!$B$14))+(K61/(1-'Proposal Form Tier 1'!$B$16-'Proposal Form Tier 1'!$B$14))</f>
        <v>6666.666666666667</v>
      </c>
    </row>
    <row r="62" spans="1:16" ht="45" x14ac:dyDescent="0.25">
      <c r="A62" s="5" t="s">
        <v>181</v>
      </c>
      <c r="B62" s="10" t="s">
        <v>80</v>
      </c>
      <c r="C62" s="40" t="s">
        <v>82</v>
      </c>
      <c r="D62" s="13"/>
      <c r="E62" s="10" t="s">
        <v>82</v>
      </c>
      <c r="F62" s="10"/>
      <c r="G62" s="10" t="s">
        <v>165</v>
      </c>
      <c r="H62" s="2" t="s">
        <v>166</v>
      </c>
      <c r="I62" s="52">
        <f>_xlfn.XLOOKUP($A62,'Proposal Form Tier 1'!$C:$C,'Proposal Form Tier 1'!$B:$B,0,0)</f>
        <v>1</v>
      </c>
      <c r="J62" s="51">
        <f>VLOOKUP('Proposal Form Tier 1'!$B$5,Tiers_list!$A:$AT,MATCH($A62,Tiers_list!$2:$2,0),FALSE)*(I62*(1-'Proposal Form Tier 1'!$B$14-'Proposal Form Tier 1'!$B$13))</f>
        <v>2500</v>
      </c>
      <c r="K62" s="3"/>
      <c r="L62" s="11"/>
      <c r="M62" s="52"/>
      <c r="N62" s="52"/>
      <c r="O62" s="52"/>
      <c r="P62" s="3">
        <f>+(J62/(1-'Proposal Form Tier 1'!$B$16-'Proposal Form Tier 1'!$B$14))+(K62/(1-'Proposal Form Tier 1'!$B$16-'Proposal Form Tier 1'!$B$14))</f>
        <v>3333.3333333333335</v>
      </c>
    </row>
    <row r="63" spans="1:16" s="4" customFormat="1" ht="22.5" outlineLevel="2" x14ac:dyDescent="0.25">
      <c r="A63" s="2" t="s">
        <v>79</v>
      </c>
      <c r="B63" s="10" t="s">
        <v>80</v>
      </c>
      <c r="C63" s="40" t="s">
        <v>81</v>
      </c>
      <c r="D63" s="13"/>
      <c r="E63" s="10" t="s">
        <v>627</v>
      </c>
      <c r="F63" s="10"/>
      <c r="G63" s="10" t="s">
        <v>162</v>
      </c>
      <c r="H63" s="2"/>
      <c r="I63" s="52">
        <f>_xlfn.XLOOKUP($A63,'Proposal Form Tier 1'!$C:$C,'Proposal Form Tier 1'!$B:$B,0,0)</f>
        <v>9</v>
      </c>
      <c r="J63" s="51">
        <f>VLOOKUP('Proposal Form Tier 1'!$B$5,Tiers_list!$A:$AO,MATCH($A63,Tiers_list!$2:$2,0),FALSE)*'Proposal Form Tier 1'!B26</f>
        <v>135</v>
      </c>
      <c r="K63" s="3"/>
      <c r="L63" s="11"/>
      <c r="M63" s="52"/>
      <c r="N63" s="52"/>
      <c r="O63" s="52"/>
      <c r="P63" s="3">
        <f>+(J63/(1-'Proposal Form Tier 1'!$B$16-'Proposal Form Tier 1'!$B$14))+(K63/(1-'Proposal Form Tier 1'!$B$16-'Proposal Form Tier 1'!$B$14))</f>
        <v>180</v>
      </c>
    </row>
    <row r="64" spans="1:16" s="4" customFormat="1" ht="22.5" outlineLevel="2" x14ac:dyDescent="0.25">
      <c r="A64" s="2" t="s">
        <v>616</v>
      </c>
      <c r="B64" s="10" t="s">
        <v>80</v>
      </c>
      <c r="C64" s="40" t="s">
        <v>626</v>
      </c>
      <c r="D64" s="13"/>
      <c r="E64" s="14" t="s">
        <v>625</v>
      </c>
      <c r="F64" s="14"/>
      <c r="G64" s="10" t="s">
        <v>162</v>
      </c>
      <c r="H64" s="2"/>
      <c r="I64" s="52">
        <f>_xlfn.XLOOKUP($A64,'Proposal Form Tier 1'!$C:$C,'Proposal Form Tier 1'!$B:$B,0,0)</f>
        <v>0</v>
      </c>
      <c r="J64" s="51">
        <f>VLOOKUP('Proposal Form Tier 1'!$B$5,Tiers_list!$A:$AO,MATCH($A64,Tiers_list!$2:$2,0),FALSE)*I64</f>
        <v>0</v>
      </c>
      <c r="K64" s="3"/>
      <c r="L64" s="11"/>
      <c r="M64" s="52"/>
      <c r="N64" s="52"/>
      <c r="O64" s="52"/>
      <c r="P64" s="3">
        <f>+(J64/(1-'Proposal Form Tier 1'!$B$16-'Proposal Form Tier 1'!$B$14))+(K64/(1-'Proposal Form Tier 1'!$B$16-'Proposal Form Tier 1'!$B$14))</f>
        <v>0</v>
      </c>
    </row>
    <row r="65" spans="1:16" s="6" customFormat="1" ht="56.25" outlineLevel="2" x14ac:dyDescent="0.25">
      <c r="A65" s="5" t="s">
        <v>3</v>
      </c>
      <c r="B65" s="10" t="s">
        <v>80</v>
      </c>
      <c r="C65" s="40" t="s">
        <v>58</v>
      </c>
      <c r="D65" s="13"/>
      <c r="E65" s="10" t="s">
        <v>28</v>
      </c>
      <c r="F65" s="10"/>
      <c r="G65" s="10" t="s">
        <v>640</v>
      </c>
      <c r="H65" s="2" t="s">
        <v>20</v>
      </c>
      <c r="I65" s="52">
        <f>_xlfn.XLOOKUP($A65,'Proposal Form Tier 1'!$C:$C,'Proposal Form Tier 1'!$B:$B,0,0)</f>
        <v>1</v>
      </c>
      <c r="J65" s="3">
        <f>IF(I65&lt;&gt;0,VLOOKUP('Proposal Form Tier 1'!$B$5,Tiers_list!$A:$BC,MATCH($A65,Tiers_list!$2:$2,0),FALSE)*('Proposal Form Tier 1'!$B$3/10)*(1-'Proposal Form Tier 1'!$B$16-'Proposal Form Tier 1'!$B$14),0)</f>
        <v>0</v>
      </c>
      <c r="K65" s="3"/>
      <c r="L65" s="11"/>
      <c r="M65" s="52"/>
      <c r="N65" s="52"/>
      <c r="O65" s="52"/>
      <c r="P65" s="3">
        <f>+(J65/(1-'Proposal Form Tier 1'!$B$16-'Proposal Form Tier 1'!$B$14))+(K65/(1-'Proposal Form Tier 1'!$B$16-'Proposal Form Tier 1'!$B$14))</f>
        <v>0</v>
      </c>
    </row>
    <row r="66" spans="1:16" ht="56.25" outlineLevel="2" x14ac:dyDescent="0.25">
      <c r="A66" s="5" t="s">
        <v>4</v>
      </c>
      <c r="B66" s="10" t="s">
        <v>80</v>
      </c>
      <c r="C66" s="40" t="s">
        <v>58</v>
      </c>
      <c r="D66" s="13"/>
      <c r="E66" s="10" t="s">
        <v>50</v>
      </c>
      <c r="F66" s="10"/>
      <c r="G66" s="10" t="s">
        <v>640</v>
      </c>
      <c r="H66" s="2" t="s">
        <v>20</v>
      </c>
      <c r="I66" s="52">
        <f>_xlfn.XLOOKUP($A66,'Proposal Form Tier 1'!$C:$C,'Proposal Form Tier 1'!$B:$B,0,0)</f>
        <v>1</v>
      </c>
      <c r="J66" s="3">
        <f>IF(I66&lt;&gt;0,VLOOKUP('Proposal Form Tier 1'!$B$5,Tiers_list!$A:$BC,MATCH($A66,Tiers_list!$2:$2,0),FALSE)*('Proposal Form Tier 1'!$B$3/10)*(1-'Proposal Form Tier 1'!$B$16-'Proposal Form Tier 1'!$B$14),0)</f>
        <v>0</v>
      </c>
      <c r="K66" s="3"/>
      <c r="L66" s="11"/>
      <c r="M66" s="52"/>
      <c r="N66" s="52"/>
      <c r="O66" s="52"/>
      <c r="P66" s="3">
        <f>+(J66/(1-'Proposal Form Tier 1'!$B$16-'Proposal Form Tier 1'!$B$14))+(K66/(1-'Proposal Form Tier 1'!$B$16-'Proposal Form Tier 1'!$B$14))</f>
        <v>0</v>
      </c>
    </row>
    <row r="67" spans="1:16" ht="11.25" customHeight="1" x14ac:dyDescent="0.25">
      <c r="A67" s="1"/>
      <c r="B67" s="1"/>
      <c r="C67" s="1"/>
      <c r="D67" s="1"/>
      <c r="E67" s="176"/>
      <c r="F67" s="177"/>
      <c r="G67" s="177"/>
      <c r="H67" s="177"/>
      <c r="I67" s="169" t="s">
        <v>648</v>
      </c>
      <c r="J67" s="167">
        <f>SUM(J61:J66)</f>
        <v>7635</v>
      </c>
      <c r="K67" s="3"/>
      <c r="L67" s="11"/>
      <c r="M67" s="52"/>
      <c r="N67" s="52"/>
      <c r="O67" s="52"/>
      <c r="P67" s="167">
        <f>SUM(P61:P66)</f>
        <v>10180</v>
      </c>
    </row>
    <row r="68" spans="1:16" ht="11.25" customHeight="1" x14ac:dyDescent="0.25">
      <c r="A68" s="1"/>
      <c r="B68" s="1"/>
      <c r="C68" s="31"/>
      <c r="D68" s="31"/>
      <c r="E68" s="31"/>
      <c r="F68" s="31"/>
      <c r="G68" s="31"/>
      <c r="H68" s="31"/>
      <c r="J68" s="31"/>
      <c r="K68" s="31"/>
      <c r="L68" s="31"/>
    </row>
    <row r="69" spans="1:16" ht="11.25" customHeight="1" x14ac:dyDescent="0.25">
      <c r="A69" s="1"/>
      <c r="B69" s="1"/>
      <c r="C69" s="1"/>
      <c r="D69" s="1"/>
      <c r="E69" s="176"/>
      <c r="F69" s="177"/>
      <c r="G69" s="177"/>
      <c r="H69" s="177"/>
      <c r="I69" s="169" t="s">
        <v>650</v>
      </c>
      <c r="J69" s="167">
        <f>+J67+J57</f>
        <v>11895.9375</v>
      </c>
      <c r="K69" s="167">
        <f>+K57</f>
        <v>2130.46875</v>
      </c>
      <c r="L69" s="166">
        <f>SUM(J69:K69)</f>
        <v>14026.40625</v>
      </c>
      <c r="M69" s="52"/>
      <c r="N69" s="52"/>
      <c r="O69" s="52"/>
      <c r="P69" s="167">
        <f>+P67+P57</f>
        <v>18701.875</v>
      </c>
    </row>
    <row r="70" spans="1:16" ht="23.25" customHeight="1" x14ac:dyDescent="0.25">
      <c r="A70" s="26"/>
    </row>
    <row r="71" spans="1:16" ht="23.25" customHeight="1" x14ac:dyDescent="0.25">
      <c r="A71" s="26"/>
    </row>
    <row r="73" spans="1:16" ht="22.5" x14ac:dyDescent="0.25">
      <c r="A73" s="80" t="s">
        <v>14</v>
      </c>
      <c r="B73" s="80" t="s">
        <v>33</v>
      </c>
      <c r="C73" s="80" t="s">
        <v>147</v>
      </c>
      <c r="D73" s="80" t="s">
        <v>29</v>
      </c>
      <c r="E73" s="80" t="s">
        <v>653</v>
      </c>
      <c r="F73" s="80"/>
      <c r="G73" s="80" t="s">
        <v>160</v>
      </c>
      <c r="H73" s="81" t="s">
        <v>19</v>
      </c>
      <c r="I73" s="84" t="s">
        <v>177</v>
      </c>
      <c r="J73" s="85" t="s">
        <v>621</v>
      </c>
      <c r="K73" s="108" t="s">
        <v>622</v>
      </c>
      <c r="L73" s="80" t="s">
        <v>164</v>
      </c>
      <c r="M73" s="80" t="s">
        <v>623</v>
      </c>
      <c r="N73" s="80" t="s">
        <v>624</v>
      </c>
      <c r="O73" s="83"/>
    </row>
    <row r="74" spans="1:16" ht="45" customHeight="1" x14ac:dyDescent="0.25">
      <c r="A74" s="5" t="s">
        <v>180</v>
      </c>
      <c r="B74" s="10" t="s">
        <v>80</v>
      </c>
      <c r="C74" s="40" t="s">
        <v>660</v>
      </c>
      <c r="D74" s="13" t="str">
        <f>_xlfn.XLOOKUP(A74,Tiers_list!$2:$2,Tiers_list!$1:$1,,0)</f>
        <v>Remote ACS Software Install Support</v>
      </c>
      <c r="E74" s="10" t="s">
        <v>53</v>
      </c>
      <c r="F74" s="10"/>
      <c r="G74" s="10" t="s">
        <v>163</v>
      </c>
      <c r="H74" s="2" t="s">
        <v>20</v>
      </c>
      <c r="I74" s="152">
        <f>IF('Proposal Form Tier 1'!$B$5&lt;&gt;"Tier  - 1 - 10",VLOOKUP('Proposal Form Tier 1'!$B$5,Tiers_list!$A:$AT,MATCH($A74,Tiers_list!$2:$2,0),FALSE),VLOOKUP('Proposal Form Tier 1'!$B$5,Tiers_list!$A:$AT,MATCH($A74,Tiers_list!$2:$2,0),FALSE))</f>
        <v>250</v>
      </c>
      <c r="J74" s="54">
        <f>+'Proposal Form Tier 1'!$B$16+'Proposal Form Tier 1'!$B$14</f>
        <v>0.25</v>
      </c>
      <c r="K74" s="112">
        <f t="shared" ref="K74:K82" si="18">+I74*(1-J74)</f>
        <v>187.5</v>
      </c>
      <c r="L74" s="98">
        <f>SUBTOTAL(9,I2:I55)+SUBTOTAL(9,L2:L55)</f>
        <v>38</v>
      </c>
      <c r="M74" s="3">
        <f>+L74*I74</f>
        <v>9500</v>
      </c>
      <c r="N74" s="3">
        <f t="shared" ref="N74:N82" si="19">+L74*K74</f>
        <v>7125</v>
      </c>
    </row>
    <row r="75" spans="1:16" ht="45" x14ac:dyDescent="0.25">
      <c r="A75" s="12" t="s">
        <v>645</v>
      </c>
      <c r="B75" s="14" t="s">
        <v>123</v>
      </c>
      <c r="C75" s="40" t="s">
        <v>667</v>
      </c>
      <c r="D75" s="13" t="str">
        <f>_xlfn.XLOOKUP(A75,Tiers_list!$2:$2,Tiers_list!$1:$1,,0)</f>
        <v>ACS Enterprise - Hardware - Controller Firmware Programmer  KIT - No license Provided.</v>
      </c>
      <c r="E75" s="14" t="s">
        <v>646</v>
      </c>
      <c r="F75" s="14"/>
      <c r="G75" s="10" t="s">
        <v>163</v>
      </c>
      <c r="H75" s="2" t="s">
        <v>20</v>
      </c>
      <c r="I75" s="152">
        <f>IF('Proposal Form Tier 1'!$B$5&lt;&gt;"Tier  - 1 - 10",VLOOKUP('Proposal Form Tier 1'!$B$5,Tiers_list!$A:$AT,MATCH($A75,Tiers_list!$2:$2,0),FALSE),VLOOKUP('Proposal Form Tier 1'!$B$5,Tiers_list!$A:$AT,MATCH($A75,Tiers_list!$2:$2,0),FALSE))</f>
        <v>926</v>
      </c>
      <c r="J75" s="54">
        <f>+'Proposal Form Tier 1'!$B$16+'Proposal Form Tier 1'!$B$14</f>
        <v>0.25</v>
      </c>
      <c r="K75" s="112">
        <f t="shared" si="18"/>
        <v>694.5</v>
      </c>
      <c r="L75" s="53">
        <f>_xlfn.XLOOKUP($A75,'Proposal Form Tier 1'!$C:$C,'Proposal Form Tier 1'!$B:$B,0,0)</f>
        <v>0</v>
      </c>
      <c r="M75" s="3">
        <f>+L75*I75</f>
        <v>0</v>
      </c>
      <c r="N75" s="3">
        <f>+L75*K75</f>
        <v>0</v>
      </c>
    </row>
    <row r="76" spans="1:16" ht="22.5" x14ac:dyDescent="0.25">
      <c r="A76" s="12" t="s">
        <v>124</v>
      </c>
      <c r="B76" s="14" t="s">
        <v>123</v>
      </c>
      <c r="C76" s="40" t="s">
        <v>659</v>
      </c>
      <c r="D76" s="13" t="str">
        <f>_xlfn.XLOOKUP(A76,Tiers_list!$2:$2,Tiers_list!$1:$1,,0)</f>
        <v>TLS 1.2/1.3 PCB</v>
      </c>
      <c r="E76" s="14" t="s">
        <v>628</v>
      </c>
      <c r="F76" s="14"/>
      <c r="G76" s="10" t="s">
        <v>163</v>
      </c>
      <c r="H76" s="2" t="s">
        <v>20</v>
      </c>
      <c r="I76" s="152">
        <f>IF('Proposal Form Tier 1'!$B$5&lt;&gt;"Tier  - 1 - 10",VLOOKUP('Proposal Form Tier 1'!$B$5,Tiers_list!$A:$AT,MATCH($A76,Tiers_list!$2:$2,0),FALSE),VLOOKUP('Proposal Form Tier 1'!$B$5,Tiers_list!$A:$AT,MATCH($A76,Tiers_list!$2:$2,0),FALSE))</f>
        <v>389</v>
      </c>
      <c r="J76" s="54">
        <f>+'Proposal Form Tier 1'!$B$16+'Proposal Form Tier 1'!$B$14</f>
        <v>0.25</v>
      </c>
      <c r="K76" s="112">
        <f t="shared" si="18"/>
        <v>291.75</v>
      </c>
      <c r="L76" s="53">
        <f>_xlfn.XLOOKUP($A76,'Proposal Form Tier 1'!$C:$C,'Proposal Form Tier 1'!$B:$B,0,0)</f>
        <v>9</v>
      </c>
      <c r="M76" s="3">
        <f>+L76*I76</f>
        <v>3501</v>
      </c>
      <c r="N76" s="3">
        <f>+L76*K76</f>
        <v>2625.75</v>
      </c>
    </row>
    <row r="77" spans="1:16" ht="22.5" x14ac:dyDescent="0.25">
      <c r="A77" s="12"/>
      <c r="B77" s="14"/>
      <c r="C77" s="40"/>
      <c r="D77" s="13"/>
      <c r="E77" s="80" t="s">
        <v>654</v>
      </c>
      <c r="F77" s="80"/>
      <c r="G77" s="10"/>
      <c r="H77" s="2"/>
      <c r="I77" s="152"/>
      <c r="J77" s="54"/>
      <c r="K77" s="112"/>
      <c r="L77" s="53"/>
      <c r="M77" s="206">
        <f>SUM(M74:M76)</f>
        <v>13001</v>
      </c>
      <c r="N77" s="206">
        <f>SUM(N74:N76)</f>
        <v>9750.75</v>
      </c>
    </row>
    <row r="78" spans="1:16" x14ac:dyDescent="0.25">
      <c r="A78" s="12"/>
      <c r="B78" s="14"/>
      <c r="C78" s="40"/>
      <c r="D78" s="13"/>
      <c r="E78" s="14"/>
      <c r="F78" s="14"/>
      <c r="G78" s="10"/>
      <c r="H78" s="2"/>
      <c r="I78" s="152"/>
      <c r="J78" s="54"/>
      <c r="K78" s="112"/>
      <c r="L78" s="53"/>
      <c r="M78" s="206"/>
      <c r="N78" s="206"/>
    </row>
    <row r="79" spans="1:16" x14ac:dyDescent="0.25">
      <c r="A79" s="12"/>
      <c r="B79" s="14"/>
      <c r="C79" s="40"/>
      <c r="D79" s="13"/>
      <c r="E79" s="205" t="s">
        <v>652</v>
      </c>
      <c r="F79" s="205"/>
      <c r="G79" s="10"/>
      <c r="H79" s="2"/>
      <c r="I79" s="152"/>
      <c r="J79" s="54"/>
      <c r="K79" s="112"/>
      <c r="L79" s="53"/>
      <c r="M79" s="3"/>
      <c r="N79" s="3"/>
    </row>
    <row r="80" spans="1:16" ht="45" x14ac:dyDescent="0.25">
      <c r="A80" s="16" t="s">
        <v>170</v>
      </c>
      <c r="B80" s="2" t="s">
        <v>123</v>
      </c>
      <c r="C80" s="40" t="s">
        <v>658</v>
      </c>
      <c r="D80" s="13" t="str">
        <f>_xlfn.XLOOKUP(A80,Tiers_list!$2:$2,Tiers_list!$1:$1,,0)</f>
        <v>Labor - Trip Charge - Non-Union - On-Site Tech Labor Standard Weekday Business Hours Travel / Service Rate (M-F 09:00-17:00)</v>
      </c>
      <c r="E80" s="2" t="s">
        <v>644</v>
      </c>
      <c r="F80" s="2"/>
      <c r="G80" s="10" t="s">
        <v>163</v>
      </c>
      <c r="H80" s="2" t="s">
        <v>20</v>
      </c>
      <c r="I80" s="152">
        <f>IF('Proposal Form Tier 1'!$B$5&lt;&gt;"Tier  - 1 - 10",VLOOKUP('Proposal Form Tier 1'!$B$5,Tiers_list!$A:$AT,MATCH($A80,Tiers_list!$2:$2,0),FALSE),VLOOKUP('Proposal Form Tier 1'!$B$5,Tiers_list!$A:$AT,MATCH($A80,Tiers_list!$2:$2,0),FALSE))</f>
        <v>225</v>
      </c>
      <c r="J80" s="54">
        <f>+'Proposal Form Tier 1'!$B$16+'Proposal Form Tier 1'!$B$14</f>
        <v>0.25</v>
      </c>
      <c r="K80" s="112">
        <f t="shared" si="18"/>
        <v>168.75</v>
      </c>
      <c r="L80" s="53">
        <f>_xlfn.XLOOKUP($A80,'Proposal Form Tier 1'!$C:$C,'Proposal Form Tier 1'!$B:$B,0,0)</f>
        <v>0</v>
      </c>
      <c r="M80" s="3">
        <f>+L80*I80</f>
        <v>0</v>
      </c>
      <c r="N80" s="3">
        <f t="shared" si="19"/>
        <v>0</v>
      </c>
    </row>
    <row r="81" spans="1:14" ht="78.75" x14ac:dyDescent="0.25">
      <c r="A81" s="16" t="s">
        <v>171</v>
      </c>
      <c r="B81" s="2" t="s">
        <v>123</v>
      </c>
      <c r="C81" s="40" t="s">
        <v>658</v>
      </c>
      <c r="D81" s="13" t="str">
        <f>_xlfn.XLOOKUP(A81,Tiers_list!$2:$2,Tiers_list!$1:$1,,0)</f>
        <v>Labor - Non-Union - On-Site Tech Labor Standard Weekday Business Hours Travel / Service Rate (M-F 09:00-17:00) 1st Hour On-Site Minimum Invoice. Additional time invoiced in fifteen (15) minute increments</v>
      </c>
      <c r="E81" s="2" t="s">
        <v>168</v>
      </c>
      <c r="F81" s="2"/>
      <c r="G81" s="10" t="s">
        <v>163</v>
      </c>
      <c r="H81" s="2" t="s">
        <v>20</v>
      </c>
      <c r="I81" s="152">
        <f>IF('Proposal Form Tier 1'!$B$5&lt;&gt;"Tier  - 1 - 10",VLOOKUP('Proposal Form Tier 1'!$B$5,Tiers_list!$A:$AT,MATCH($A81,Tiers_list!$2:$2,0),FALSE),VLOOKUP('Proposal Form Tier 1'!$B$5,Tiers_list!$A:$AT,MATCH($A81,Tiers_list!$2:$2,0),FALSE))</f>
        <v>190</v>
      </c>
      <c r="J81" s="54">
        <f>+'Proposal Form Tier 1'!$B$16+'Proposal Form Tier 1'!$B$14</f>
        <v>0.25</v>
      </c>
      <c r="K81" s="112">
        <f t="shared" si="18"/>
        <v>142.5</v>
      </c>
      <c r="L81" s="53">
        <f>_xlfn.XLOOKUP($A81,'Proposal Form Tier 1'!$C:$C,'Proposal Form Tier 1'!$B:$B,0,0)</f>
        <v>0</v>
      </c>
      <c r="M81" s="3">
        <f>+L81*I81</f>
        <v>0</v>
      </c>
      <c r="N81" s="3">
        <f t="shared" si="19"/>
        <v>0</v>
      </c>
    </row>
    <row r="82" spans="1:14" ht="33.75" x14ac:dyDescent="0.25">
      <c r="A82" s="16" t="s">
        <v>172</v>
      </c>
      <c r="B82" s="2" t="s">
        <v>123</v>
      </c>
      <c r="C82" s="40" t="s">
        <v>658</v>
      </c>
      <c r="D82" s="13" t="str">
        <f>_xlfn.XLOOKUP(A82,Tiers_list!$2:$2,Tiers_list!$1:$1,,0)</f>
        <v>Labor - Project Management - Weekday Business Hours (M-F 09:00-17:00)</v>
      </c>
      <c r="E82" s="2" t="s">
        <v>169</v>
      </c>
      <c r="F82" s="191"/>
      <c r="G82" s="190" t="s">
        <v>163</v>
      </c>
      <c r="H82" s="191" t="s">
        <v>20</v>
      </c>
      <c r="I82" s="192">
        <f>IF('Proposal Form Tier 1'!$B$5&lt;&gt;"Tier  - 1 - 10",VLOOKUP('Proposal Form Tier 1'!$B$5,Tiers_list!$A:$AT,MATCH($A82,Tiers_list!$2:$2,0),FALSE),VLOOKUP('Proposal Form Tier 1'!$B$5,Tiers_list!$A:$AT,MATCH($A82,Tiers_list!$2:$2,0),FALSE))</f>
        <v>250</v>
      </c>
      <c r="J82" s="193">
        <f>+'Proposal Form Tier 1'!$B$16+'Proposal Form Tier 1'!$B$14</f>
        <v>0.25</v>
      </c>
      <c r="K82" s="194">
        <f t="shared" si="18"/>
        <v>187.5</v>
      </c>
      <c r="L82" s="195">
        <f>_xlfn.XLOOKUP($A82,'Proposal Form Tier 1'!$C:$C,'Proposal Form Tier 1'!$B:$B,0,0)</f>
        <v>0</v>
      </c>
      <c r="M82" s="196">
        <f>+L82*I82</f>
        <v>0</v>
      </c>
      <c r="N82" s="3">
        <f t="shared" si="19"/>
        <v>0</v>
      </c>
    </row>
    <row r="83" spans="1:14" x14ac:dyDescent="0.25">
      <c r="A83" s="168"/>
      <c r="B83" s="144"/>
      <c r="C83" s="135"/>
      <c r="D83" s="146"/>
      <c r="E83" s="205" t="s">
        <v>655</v>
      </c>
      <c r="F83" s="249"/>
      <c r="G83" s="207"/>
      <c r="H83" s="208"/>
      <c r="I83" s="209"/>
      <c r="J83" s="210"/>
      <c r="K83" s="211"/>
      <c r="L83" s="212"/>
      <c r="M83" s="206">
        <f>SUM(M80:M82)</f>
        <v>0</v>
      </c>
      <c r="N83" s="206">
        <f>SUM(N80:N82)</f>
        <v>0</v>
      </c>
    </row>
    <row r="84" spans="1:14" x14ac:dyDescent="0.25">
      <c r="A84" s="168"/>
      <c r="B84" s="144"/>
      <c r="C84" s="135"/>
      <c r="D84" s="146"/>
      <c r="E84" s="144"/>
      <c r="F84" s="144"/>
      <c r="G84" s="170"/>
      <c r="H84" s="203"/>
      <c r="I84" s="203"/>
      <c r="J84" s="171"/>
      <c r="K84" s="172"/>
      <c r="L84" s="204" t="s">
        <v>657</v>
      </c>
      <c r="M84" s="189">
        <f>+M83+M77</f>
        <v>13001</v>
      </c>
      <c r="N84" s="189">
        <f>+N83+N77</f>
        <v>9750.75</v>
      </c>
    </row>
    <row r="85" spans="1:14" ht="22.5" x14ac:dyDescent="0.25">
      <c r="A85" s="168"/>
      <c r="B85" s="144"/>
      <c r="C85" s="135"/>
      <c r="D85" s="146"/>
      <c r="E85" s="144"/>
      <c r="F85" s="144"/>
      <c r="G85" s="197"/>
      <c r="H85" s="198"/>
      <c r="I85" s="198"/>
      <c r="J85" s="199"/>
      <c r="K85" s="200"/>
      <c r="L85" s="201"/>
      <c r="M85" s="80" t="s">
        <v>623</v>
      </c>
      <c r="N85" s="80" t="s">
        <v>624</v>
      </c>
    </row>
    <row r="86" spans="1:14" x14ac:dyDescent="0.25">
      <c r="A86" s="168"/>
      <c r="B86" s="144"/>
      <c r="C86" s="135"/>
      <c r="D86" s="146"/>
      <c r="E86" s="144"/>
      <c r="F86" s="144"/>
      <c r="G86" s="197"/>
      <c r="H86" s="198"/>
      <c r="I86" s="198"/>
      <c r="J86" s="199"/>
      <c r="K86" s="200"/>
      <c r="L86" s="202" t="s">
        <v>651</v>
      </c>
      <c r="M86" s="189">
        <f>+M84+P69</f>
        <v>31702.875</v>
      </c>
      <c r="N86" s="189">
        <f>+N77+J69+K57</f>
        <v>23777.15625</v>
      </c>
    </row>
    <row r="87" spans="1:14" x14ac:dyDescent="0.25">
      <c r="A87" s="247" t="str" cm="1">
        <f t="array" aca="1" ref="A87" ca="1">CONCATENATE("R:\SalesInfo\Pricing Lists and Modules\ACS SaaS\",_xlfn.TEXTAFTER(_xlfn.TEXTBEFORE(CELL("filename"),"]"),"["))</f>
        <v>R:\SalesInfo\Pricing Lists and Modules\ACS SaaS\New_Confidential Parabit Private-Public Cloud On-Prem ACS Enterprise Tiered Software Quote Form_Rev_06-22-26.xlsx</v>
      </c>
      <c r="B87" s="247"/>
      <c r="C87" s="247"/>
      <c r="D87" s="247"/>
      <c r="E87" s="247"/>
      <c r="F87" s="247"/>
      <c r="G87" s="247"/>
      <c r="H87" s="247"/>
      <c r="I87" s="247"/>
      <c r="J87" s="247"/>
      <c r="K87" s="247"/>
      <c r="L87" s="247"/>
      <c r="M87" s="247"/>
      <c r="N87" s="247"/>
    </row>
  </sheetData>
  <sheetProtection formatCells="0" formatColumns="0" formatRows="0" sort="0" pivotTables="0"/>
  <autoFilter ref="A1:O56" xr:uid="{639638E3-5BB1-4380-B3D3-9E4DDEBA45A0}"/>
  <mergeCells count="1">
    <mergeCell ref="A87:N87"/>
  </mergeCells>
  <conditionalFormatting sqref="A61:A1048576 A1:A59">
    <cfRule type="duplicateValues" dxfId="45" priority="17"/>
  </conditionalFormatting>
  <conditionalFormatting sqref="A60">
    <cfRule type="duplicateValues" dxfId="44" priority="13"/>
  </conditionalFormatting>
  <conditionalFormatting sqref="A62:O62 A67:J67 A68:O68 A69:L69 A70:O72 A80:C86 A88:O1048576 O75:O87 A1:P59">
    <cfRule type="expression" dxfId="43" priority="48">
      <formula>"FIND(""Total"",C:C)"</formula>
    </cfRule>
  </conditionalFormatting>
  <conditionalFormatting sqref="A61:P66 A73:N73 A74:O74 A75:B79 A87">
    <cfRule type="expression" dxfId="42" priority="46">
      <formula>"FIND(""Total"",C:C)"</formula>
    </cfRule>
  </conditionalFormatting>
  <conditionalFormatting sqref="A60:P60">
    <cfRule type="expression" dxfId="41" priority="10">
      <formula>"FIND(""Total"",C:C)"</formula>
    </cfRule>
  </conditionalFormatting>
  <conditionalFormatting sqref="C75:C79">
    <cfRule type="expression" dxfId="40" priority="9">
      <formula>"FIND(""Total"",C:C)"</formula>
    </cfRule>
  </conditionalFormatting>
  <conditionalFormatting sqref="D75:N86">
    <cfRule type="expression" dxfId="39" priority="1">
      <formula>"FIND(""Total"",C:C)"</formula>
    </cfRule>
  </conditionalFormatting>
  <conditionalFormatting sqref="K67:P67">
    <cfRule type="expression" dxfId="38" priority="5">
      <formula>"FIND(""Total"",C:C)"</formula>
    </cfRule>
  </conditionalFormatting>
  <conditionalFormatting sqref="M69:P69">
    <cfRule type="expression" dxfId="37" priority="2">
      <formula>"FIND(""Total"",C:C)"</formula>
    </cfRule>
  </conditionalFormatting>
  <dataValidations count="1">
    <dataValidation allowBlank="1" showInputMessage="1" showErrorMessage="1" promptTitle="Total Number of Instances" prompt="From Detail Software Sheet total number of Production and Fail-Over instances" sqref="L74" xr:uid="{C5090A38-F438-4766-B850-86AE7CC33505}"/>
  </dataValidations>
  <printOptions verticalCentered="1"/>
  <pageMargins left="0.7" right="0.7" top="0.75" bottom="0.75" header="0.3" footer="0.3"/>
  <pageSetup scale="62" fitToHeight="7" orientation="landscape" r:id="rId1"/>
  <headerFooter scaleWithDoc="0" alignWithMargins="0">
    <oddFooter>&amp;RPage &amp;P of &amp;N</oddFooter>
  </headerFooter>
  <rowBreaks count="1" manualBreakCount="1">
    <brk id="58" max="16383" man="1"/>
  </rowBreaks>
  <extLst>
    <ext xmlns:x14="http://schemas.microsoft.com/office/spreadsheetml/2009/9/main" uri="{CCE6A557-97BC-4b89-ADB6-D9C93CAAB3DF}">
      <x14:dataValidations xmlns:xm="http://schemas.microsoft.com/office/excel/2006/main" count="1">
        <x14:dataValidation type="list" allowBlank="1" showInputMessage="1" showErrorMessage="1" promptTitle="Gategory List" prompt="Select Category List" xr:uid="{BCD99A9B-1521-434F-A4CD-4514946F60BD}">
          <x14:formula1>
            <xm:f>Category_list!$A:$A</xm:f>
          </x14:formula1>
          <xm:sqref>C2 C65:C66 C30:C33 C35:C42 C6:C18 C74:C86 C20:C28 C62 C44:C55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3E684-F9E0-4C06-A6F6-D029949B7506}">
  <sheetPr codeName="Sheet3"/>
  <dimension ref="A1:H106"/>
  <sheetViews>
    <sheetView zoomScale="150" zoomScaleNormal="150" workbookViewId="0">
      <pane xSplit="1" ySplit="6" topLeftCell="B7" activePane="bottomRight" state="frozen"/>
      <selection pane="topRight" activeCell="B1" sqref="B1"/>
      <selection pane="bottomLeft" activeCell="A5" sqref="A5"/>
      <selection pane="bottomRight" activeCell="I9" sqref="I9"/>
    </sheetView>
  </sheetViews>
  <sheetFormatPr defaultRowHeight="15" customHeight="1" x14ac:dyDescent="0.25"/>
  <cols>
    <col min="1" max="1" width="37.85546875" style="1" customWidth="1"/>
    <col min="2" max="2" width="12.140625" style="7" customWidth="1"/>
    <col min="3" max="3" width="10.140625" style="7" customWidth="1"/>
    <col min="4" max="4" width="8.42578125" style="106" customWidth="1"/>
    <col min="5" max="5" width="12.7109375" style="7" customWidth="1"/>
    <col min="6" max="7" width="9.85546875" style="7" bestFit="1" customWidth="1"/>
    <col min="8" max="8" width="15.7109375" style="7" customWidth="1"/>
    <col min="9" max="9" width="10.42578125" bestFit="1" customWidth="1"/>
  </cols>
  <sheetData>
    <row r="1" spans="1:8" ht="15" customHeight="1" x14ac:dyDescent="0.25">
      <c r="A1" s="248" t="str">
        <f>CONCATENATE("Confidential Parabit Private-Public Cloud On-Premise ACS Enterprise Tiered Software Quote for ",'Proposal Form Tier 2-12'!B2)</f>
        <v>Confidential Parabit Private-Public Cloud On-Premise ACS Enterprise Tiered Software Quote for Bank of America</v>
      </c>
      <c r="B1" s="248"/>
      <c r="C1" s="248"/>
      <c r="D1" s="248"/>
      <c r="E1" s="248"/>
      <c r="F1" s="248"/>
      <c r="G1" s="248"/>
      <c r="H1" s="118"/>
    </row>
    <row r="2" spans="1:8" ht="15" customHeight="1" x14ac:dyDescent="0.25">
      <c r="A2" s="248" t="s">
        <v>139</v>
      </c>
      <c r="B2" s="248"/>
      <c r="C2" s="248"/>
      <c r="D2" s="248"/>
      <c r="E2" s="248"/>
      <c r="F2" s="248"/>
      <c r="G2" s="248"/>
      <c r="H2" s="119"/>
    </row>
    <row r="3" spans="1:8" ht="15" customHeight="1" x14ac:dyDescent="0.25">
      <c r="A3" s="248" t="s">
        <v>140</v>
      </c>
      <c r="B3" s="248"/>
      <c r="C3" s="248"/>
      <c r="D3" s="248"/>
      <c r="E3" s="248"/>
      <c r="F3" s="248"/>
      <c r="G3" s="248"/>
      <c r="H3"/>
    </row>
    <row r="4" spans="1:8" ht="15" customHeight="1" x14ac:dyDescent="0.25">
      <c r="A4" s="235"/>
      <c r="B4" s="235"/>
      <c r="C4" s="235"/>
      <c r="D4" s="235"/>
      <c r="E4" s="235"/>
      <c r="F4" s="236" t="s">
        <v>427</v>
      </c>
      <c r="G4" s="236" t="s">
        <v>569</v>
      </c>
      <c r="H4"/>
    </row>
    <row r="5" spans="1:8" ht="33.75" x14ac:dyDescent="0.25">
      <c r="A5" s="235"/>
      <c r="B5" s="235"/>
      <c r="C5" s="235"/>
      <c r="D5" s="235"/>
      <c r="E5" s="235"/>
      <c r="F5" s="243" t="str">
        <f>+'Proposal Form Tier 1'!B15</f>
        <v>Securitas Technology Co.</v>
      </c>
      <c r="G5" s="243" t="str">
        <f>+'Proposal Form Tier 1'!B2</f>
        <v>Bank of America</v>
      </c>
      <c r="H5"/>
    </row>
    <row r="6" spans="1:8" ht="57" customHeight="1" x14ac:dyDescent="0.25">
      <c r="A6" s="181" t="s">
        <v>119</v>
      </c>
      <c r="B6" s="80" t="str">
        <f>+'Detail_Proposal_tier 1'!I1</f>
        <v>Tier  - 1 - 10 Quantity of Primary Production Instance(s)</v>
      </c>
      <c r="C6" s="84" t="str">
        <f>+'Detail_Proposal_tier 1'!J1</f>
        <v>Tier  - 1 - 10 Total Annual Primary Instance(s) Pricing</v>
      </c>
      <c r="D6" s="80" t="str">
        <f>+'Detail_Proposal_tier 1'!K1</f>
        <v>Tier  - 1 - 10 Total Annual Fail-Over/DR Instance(s) Pricing</v>
      </c>
      <c r="E6" s="84" t="str">
        <f>+'Detail_Proposal_tier 1'!L1</f>
        <v>Tier  - 1 - 10 Total Quantity of Annual Fail-Over/DR Instance(s)</v>
      </c>
      <c r="F6" s="80" t="str">
        <f>+'Proposal Summary - Tier 2-12'!F6</f>
        <v>Total Price</v>
      </c>
      <c r="G6" s="80" t="str">
        <f>+'Proposal Summary - Tier 2-12'!G6</f>
        <v>MSRP / Tier Price Total</v>
      </c>
      <c r="H6"/>
    </row>
    <row r="7" spans="1:8" x14ac:dyDescent="0.25">
      <c r="A7" s="237" t="str">
        <f>+'Proposal Summary - Tier 2-12'!A7</f>
        <v>ACS Enterprise Hardware Configuration UI</v>
      </c>
      <c r="B7" s="9">
        <f ca="1">SUMIF('Detail_Proposal_tier 1'!$C:$L,$A7,'Detail_Proposal_tier 1'!I:I)</f>
        <v>3</v>
      </c>
      <c r="C7" s="109">
        <f ca="1">SUMIF('Detail_Proposal_tier 1'!$C:$L,$A7,'Detail_Proposal_tier 1'!J:J)</f>
        <v>2278.125</v>
      </c>
      <c r="D7" s="9">
        <f ca="1">SUMIF('Detail_Proposal_tier 1'!$C:$L,$A7,'Detail_Proposal_tier 1'!L:L)</f>
        <v>3</v>
      </c>
      <c r="E7" s="109">
        <f ca="1">SUMIF('Detail_Proposal_tier 1'!$C:$L,$A7,'Detail_Proposal_tier 1'!K:K)</f>
        <v>1139.0625</v>
      </c>
      <c r="F7" s="109">
        <f ca="1">+E7+C7</f>
        <v>3417.1875</v>
      </c>
      <c r="G7" s="109">
        <f ca="1">SUMIF('Detail_Proposal_tier 1'!$C:$L,$A7,'Detail_Proposal_tier 1'!P:P)</f>
        <v>4556.25</v>
      </c>
      <c r="H7"/>
    </row>
    <row r="8" spans="1:8" x14ac:dyDescent="0.25">
      <c r="A8" s="237" t="str">
        <f>+'Proposal Summary - Tier 2-12'!A8</f>
        <v>ACS Enterprise Integrations</v>
      </c>
      <c r="B8" s="9">
        <f ca="1">SUMIF('Detail_Proposal_tier 1'!$C:$L,$A8,'Detail_Proposal_tier 1'!I:I)</f>
        <v>4</v>
      </c>
      <c r="C8" s="109">
        <f ca="1">SUMIF('Detail_Proposal_tier 1'!$C:$L,$A8,'Detail_Proposal_tier 1'!J:J)</f>
        <v>548.4375</v>
      </c>
      <c r="D8" s="9">
        <f ca="1">SUMIF('Detail_Proposal_tier 1'!$C:$L,$A8,'Detail_Proposal_tier 1'!L:L)</f>
        <v>4</v>
      </c>
      <c r="E8" s="109">
        <f ca="1">SUMIF('Detail_Proposal_tier 1'!$C:$L,$A8,'Detail_Proposal_tier 1'!K:K)</f>
        <v>274.21875</v>
      </c>
      <c r="F8" s="109">
        <f ca="1">+E8+C8</f>
        <v>822.65625</v>
      </c>
      <c r="G8" s="109">
        <f ca="1">SUMIF('Detail_Proposal_tier 1'!$C:$L,$A8,'Detail_Proposal_tier 1'!P:P)</f>
        <v>1096.875</v>
      </c>
      <c r="H8"/>
    </row>
    <row r="9" spans="1:8" ht="22.5" x14ac:dyDescent="0.25">
      <c r="A9" s="237" t="str">
        <f>+'Proposal Summary - Tier 2-12'!A9</f>
        <v>ACS Enterprise Hardware and Software System Supervision and Activity Logs</v>
      </c>
      <c r="B9" s="9">
        <f ca="1">SUMIF('Detail_Proposal_tier 1'!$C:$L,$A9,'Detail_Proposal_tier 1'!I:I)</f>
        <v>3</v>
      </c>
      <c r="C9" s="109">
        <f ca="1">SUMIF('Detail_Proposal_tier 1'!$C:$L,$A9,'Detail_Proposal_tier 1'!J:J)</f>
        <v>421.875</v>
      </c>
      <c r="D9" s="9">
        <f ca="1">SUMIF('Detail_Proposal_tier 1'!$C:$L,$A9,'Detail_Proposal_tier 1'!L:L)</f>
        <v>3</v>
      </c>
      <c r="E9" s="109">
        <f ca="1">SUMIF('Detail_Proposal_tier 1'!$C:$L,$A9,'Detail_Proposal_tier 1'!K:K)</f>
        <v>210.9375</v>
      </c>
      <c r="F9" s="109">
        <f ca="1">+E9+C9</f>
        <v>632.8125</v>
      </c>
      <c r="G9" s="109">
        <f ca="1">SUMIF('Detail_Proposal_tier 1'!$C:$L,$A9,'Detail_Proposal_tier 1'!P:P)</f>
        <v>843.75</v>
      </c>
      <c r="H9"/>
    </row>
    <row r="10" spans="1:8" ht="22.5" x14ac:dyDescent="0.25">
      <c r="A10" s="237" t="str">
        <f>+'Proposal Summary - Tier 2-12'!A10</f>
        <v>ACS Enterprise Mass Programming and Data Collection/Receiving Services</v>
      </c>
      <c r="B10" s="9">
        <f ca="1">SUMIF('Detail_Proposal_tier 1'!$C:$L,$A10,'Detail_Proposal_tier 1'!I:I)</f>
        <v>7</v>
      </c>
      <c r="C10" s="109">
        <f ca="1">SUMIF('Detail_Proposal_tier 1'!$C:$L,$A10,'Detail_Proposal_tier 1'!J:J)</f>
        <v>801.5625</v>
      </c>
      <c r="D10" s="9">
        <f ca="1">SUMIF('Detail_Proposal_tier 1'!$C:$L,$A10,'Detail_Proposal_tier 1'!L:L)</f>
        <v>7</v>
      </c>
      <c r="E10" s="109">
        <f ca="1">SUMIF('Detail_Proposal_tier 1'!$C:$L,$A10,'Detail_Proposal_tier 1'!K:K)</f>
        <v>400.78125</v>
      </c>
      <c r="F10" s="109">
        <f ca="1">+E10+C10</f>
        <v>1202.34375</v>
      </c>
      <c r="G10" s="109">
        <f ca="1">SUMIF('Detail_Proposal_tier 1'!$C:$L,$A10,'Detail_Proposal_tier 1'!P:P)</f>
        <v>1603.125</v>
      </c>
      <c r="H10"/>
    </row>
    <row r="11" spans="1:8" ht="22.5" x14ac:dyDescent="0.25">
      <c r="A11" s="238" t="str">
        <f>+'Proposal Summary - Tier 2-12'!A11</f>
        <v xml:space="preserve">Annual ACS Cloud Enterprise Ecosystem, Hardware, Facility Sensors, Reader Monitoring UI features </v>
      </c>
      <c r="B11" s="9">
        <f ca="1">SUMIF('Detail_Proposal_tier 1'!$C:$L,$A11,'Detail_Proposal_tier 1'!I:I)</f>
        <v>2</v>
      </c>
      <c r="C11" s="109">
        <f ca="1">SUMIF('Detail_Proposal_tier 1'!$C:$L,$A11,'Detail_Proposal_tier 1'!J:J)</f>
        <v>210.9375</v>
      </c>
      <c r="D11" s="9">
        <f ca="1">SUMIF('Detail_Proposal_tier 1'!$C:$L,$A11,'Detail_Proposal_tier 1'!L:L)</f>
        <v>2</v>
      </c>
      <c r="E11" s="109">
        <f ca="1">SUMIF('Detail_Proposal_tier 1'!$C:$L,$A11,'Detail_Proposal_tier 1'!K:K)</f>
        <v>105.46875</v>
      </c>
      <c r="F11" s="109">
        <f ca="1">+E11+C11</f>
        <v>316.40625</v>
      </c>
      <c r="G11" s="109">
        <f ca="1">SUMIF('Detail_Proposal_tier 1'!$C:$L,$A11,'Detail_Proposal_tier 1'!P:P)</f>
        <v>421.875</v>
      </c>
      <c r="H11"/>
    </row>
    <row r="12" spans="1:8" ht="24" x14ac:dyDescent="0.25">
      <c r="A12" s="239" t="str">
        <f>+'Proposal Summary - Tier 2-12'!A12</f>
        <v>Subtotal ACS OSDP TLS Enterprise/Tech software suite Annual License and Support Fees</v>
      </c>
      <c r="B12" s="183">
        <f ca="1">SUM(B7:B11)</f>
        <v>19</v>
      </c>
      <c r="C12" s="184">
        <f ca="1">SUM(C7:C11)</f>
        <v>4260.9375</v>
      </c>
      <c r="D12" s="185">
        <f t="shared" ref="D12:G12" ca="1" si="0">SUM(D7:D11)</f>
        <v>19</v>
      </c>
      <c r="E12" s="184">
        <f t="shared" ca="1" si="0"/>
        <v>2130.46875</v>
      </c>
      <c r="F12" s="184">
        <f t="shared" ca="1" si="0"/>
        <v>6391.40625</v>
      </c>
      <c r="G12" s="184">
        <f t="shared" ca="1" si="0"/>
        <v>8521.875</v>
      </c>
      <c r="H12"/>
    </row>
    <row r="13" spans="1:8" ht="6.75" customHeight="1" x14ac:dyDescent="0.25">
      <c r="A13" s="18">
        <f>+'Proposal Summary - Tier 2-12'!A13</f>
        <v>0</v>
      </c>
      <c r="B13" s="18"/>
      <c r="C13" s="107"/>
      <c r="D13" s="20"/>
      <c r="E13" s="107"/>
      <c r="F13" s="107"/>
      <c r="G13" s="107"/>
      <c r="H13"/>
    </row>
    <row r="14" spans="1:8" ht="22.5" x14ac:dyDescent="0.25">
      <c r="A14" s="181" t="str">
        <f>+'Proposal Summary - Tier 2-12'!A14</f>
        <v>Annual Support, Encryption and Technician Software Fees</v>
      </c>
      <c r="B14" s="80" t="s">
        <v>1</v>
      </c>
      <c r="C14" s="80" t="s">
        <v>2</v>
      </c>
      <c r="D14" s="80"/>
      <c r="E14" s="80"/>
      <c r="F14" s="80" t="str">
        <f>+F6</f>
        <v>Total Price</v>
      </c>
      <c r="G14" s="80" t="str">
        <f>+G6</f>
        <v>MSRP / Tier Price Total</v>
      </c>
      <c r="H14"/>
    </row>
    <row r="15" spans="1:8" ht="22.5" x14ac:dyDescent="0.25">
      <c r="A15" s="238" t="str">
        <f>+'Proposal Summary - Tier 2-12'!A15</f>
        <v>Annual 24/7 ACS Enterprise software suite Telephone Support</v>
      </c>
      <c r="B15" s="9">
        <f ca="1">SUMIF('Detail_Proposal_tier 1'!$C:$L,$A15,'Detail_Proposal_tier 1'!I:I)</f>
        <v>1</v>
      </c>
      <c r="C15" s="109">
        <f ca="1">SUMIF('Detail_Proposal_tier 1'!$C:$L,$A15,'Detail_Proposal_tier 1'!J:J)</f>
        <v>5000</v>
      </c>
      <c r="D15" s="9"/>
      <c r="E15" s="109"/>
      <c r="F15" s="109">
        <f ca="1">+E15+C15</f>
        <v>5000</v>
      </c>
      <c r="G15" s="109">
        <f ca="1">SUMIF('Detail_Proposal_tier 1'!$C:$L,$A15,'Detail_Proposal_tier 1'!P:P)</f>
        <v>6666.666666666667</v>
      </c>
      <c r="H15"/>
    </row>
    <row r="16" spans="1:8" ht="33.75" x14ac:dyDescent="0.25">
      <c r="A16" s="238" t="str">
        <f>+'Proposal Summary - Tier 2-12'!A16</f>
        <v>Annual Full Day Remote ACS Training ten (10) hours (Draw down in two (2) hour prescheduled increments</v>
      </c>
      <c r="B16" s="9">
        <f ca="1">SUMIF('Detail_Proposal_tier 1'!$C:$L,$A16,'Detail_Proposal_tier 1'!I:I)</f>
        <v>1</v>
      </c>
      <c r="C16" s="109">
        <f ca="1">SUMIF('Detail_Proposal_tier 1'!$C:$L,$A16,'Detail_Proposal_tier 1'!J:J)</f>
        <v>2500</v>
      </c>
      <c r="D16" s="9"/>
      <c r="E16" s="109"/>
      <c r="F16" s="109">
        <f ca="1">+E16+C16</f>
        <v>2500</v>
      </c>
      <c r="G16" s="109">
        <f ca="1">SUMIF('Detail_Proposal_tier 1'!$C:$L,$A16,'Detail_Proposal_tier 1'!P:P)</f>
        <v>3333.3333333333335</v>
      </c>
      <c r="H16"/>
    </row>
    <row r="17" spans="1:8" x14ac:dyDescent="0.25">
      <c r="A17" s="238" t="str">
        <f>+'Proposal Summary - Tier 2-12'!A17</f>
        <v>ACS TLS 1.2/1.3 Encryption Annual Support Fee</v>
      </c>
      <c r="B17" s="9">
        <f ca="1">SUMIF('Detail_Proposal_tier 1'!$C:$L,$A17,'Detail_Proposal_tier 1'!I:I)</f>
        <v>9</v>
      </c>
      <c r="C17" s="109">
        <f ca="1">SUMIF('Detail_Proposal_tier 1'!$C:$L,$A17,'Detail_Proposal_tier 1'!J:J)</f>
        <v>135</v>
      </c>
      <c r="D17" s="9"/>
      <c r="E17" s="109"/>
      <c r="F17" s="109">
        <f ca="1">+E17+C17</f>
        <v>135</v>
      </c>
      <c r="G17" s="109">
        <f ca="1">SUMIF('Detail_Proposal_tier 1'!$C:$L,$A17,'Detail_Proposal_tier 1'!P:P)</f>
        <v>180</v>
      </c>
      <c r="H17"/>
    </row>
    <row r="18" spans="1:8" x14ac:dyDescent="0.25">
      <c r="A18" s="238" t="str">
        <f>+'Proposal Summary - Tier 2-12'!A18</f>
        <v>Annual Tech Software</v>
      </c>
      <c r="B18" s="9">
        <f ca="1">SUMIF('Detail_Proposal_tier 1'!$C:$L,$A18,'Detail_Proposal_tier 1'!I:I)</f>
        <v>0</v>
      </c>
      <c r="C18" s="109">
        <f ca="1">SUMIF('Detail_Proposal_tier 1'!$C:$L,$A18,'Detail_Proposal_tier 1'!J:J)</f>
        <v>0</v>
      </c>
      <c r="D18" s="9"/>
      <c r="E18" s="109"/>
      <c r="F18" s="109">
        <f ca="1">+E18+C18</f>
        <v>0</v>
      </c>
      <c r="G18" s="109">
        <f ca="1">SUMIF('Detail_Proposal_tier 1'!$C:$L,$A18,'Detail_Proposal_tier 1'!P:P)</f>
        <v>0</v>
      </c>
      <c r="H18"/>
    </row>
    <row r="19" spans="1:8" ht="24.95" customHeight="1" x14ac:dyDescent="0.25">
      <c r="A19" s="239" t="str">
        <f>+'Proposal Summary - Tier 2-12'!A19</f>
        <v>Subtotal Annual Support, Encryption and Technician Software Fees</v>
      </c>
      <c r="B19" s="183"/>
      <c r="C19" s="184">
        <f ca="1">SUM(C15:C18)</f>
        <v>7635</v>
      </c>
      <c r="D19" s="185"/>
      <c r="E19" s="184"/>
      <c r="F19" s="184">
        <f ca="1">SUM(F15:F18)</f>
        <v>7635</v>
      </c>
      <c r="G19" s="184">
        <f ca="1">SUM(G15:G18)</f>
        <v>10180</v>
      </c>
      <c r="H19"/>
    </row>
    <row r="20" spans="1:8" ht="6.75" customHeight="1" x14ac:dyDescent="0.25">
      <c r="A20" s="18">
        <f>+'Proposal Summary - Tier 2-12'!A20</f>
        <v>0</v>
      </c>
      <c r="B20" s="18"/>
      <c r="C20" s="107"/>
      <c r="D20" s="20"/>
      <c r="E20" s="107"/>
      <c r="F20" s="107"/>
      <c r="G20" s="107"/>
      <c r="H20"/>
    </row>
    <row r="21" spans="1:8" ht="40.5" customHeight="1" x14ac:dyDescent="0.25">
      <c r="A21" s="240" t="str">
        <f>+'Proposal Summary - Tier 2-12'!A21</f>
        <v>Total Annual ACS OSDP TLS Enterprise software suite and Annual Support, Encryption, and Technician Software Fees</v>
      </c>
      <c r="B21" s="186"/>
      <c r="C21" s="187">
        <f ca="1">+C19+C12</f>
        <v>11895.9375</v>
      </c>
      <c r="D21" s="186"/>
      <c r="E21" s="187">
        <f ca="1">+E19+E12</f>
        <v>2130.46875</v>
      </c>
      <c r="F21" s="187">
        <f ca="1">+F19+F12</f>
        <v>14026.40625</v>
      </c>
      <c r="G21" s="187">
        <f ca="1">+G19+G12</f>
        <v>18701.875</v>
      </c>
      <c r="H21"/>
    </row>
    <row r="22" spans="1:8" x14ac:dyDescent="0.25">
      <c r="A22" s="241" t="str">
        <f>+'Proposal Summary - Tier 2-12'!A22</f>
        <v>Discount off above pricing</v>
      </c>
      <c r="B22" s="62">
        <f>+'Proposal Form Tier 1'!$B$16+'Proposal Form Tier 1'!$B$14</f>
        <v>0.25</v>
      </c>
      <c r="C22" s="110"/>
      <c r="D22" s="17"/>
      <c r="E22" s="110"/>
      <c r="F22" s="110"/>
      <c r="G22" s="110"/>
      <c r="H22"/>
    </row>
    <row r="23" spans="1:8" ht="6.75" customHeight="1" x14ac:dyDescent="0.25">
      <c r="A23" s="18">
        <f>+'Proposal Summary - Tier 2-12'!A23</f>
        <v>0</v>
      </c>
      <c r="B23" s="18"/>
      <c r="C23" s="107"/>
      <c r="D23" s="20"/>
      <c r="E23" s="107"/>
      <c r="F23" s="107"/>
      <c r="G23" s="107"/>
      <c r="H23"/>
    </row>
    <row r="24" spans="1:8" ht="22.5" x14ac:dyDescent="0.25">
      <c r="A24" s="181" t="str">
        <f>+'Proposal Summary - Tier 2-12'!A24</f>
        <v>One-Time ACS OSDP TLS Enterprise software Professional Services</v>
      </c>
      <c r="B24" s="80" t="s">
        <v>1</v>
      </c>
      <c r="C24" s="80" t="s">
        <v>2</v>
      </c>
      <c r="D24" s="80"/>
      <c r="E24" s="80"/>
      <c r="F24" s="80" t="str">
        <f>+F14</f>
        <v>Total Price</v>
      </c>
      <c r="G24" s="80" t="str">
        <f>+G14</f>
        <v>MSRP / Tier Price Total</v>
      </c>
      <c r="H24"/>
    </row>
    <row r="25" spans="1:8" ht="24.95" customHeight="1" x14ac:dyDescent="0.25">
      <c r="A25" s="238" t="str">
        <f>+'Proposal Summary - Tier 2-12'!A25</f>
        <v>ACS OSDP TLS Enterprise software Installation Support</v>
      </c>
      <c r="B25" s="9">
        <f>SUMIF('Detail_Proposal_tier 1'!C$73:C$138,$A25,'Detail_Proposal_tier 1'!L$73:L$138)</f>
        <v>38</v>
      </c>
      <c r="C25" s="109">
        <f ca="1">SUMIF('Detail_Proposal_tier 1'!$C$73:$N$138,$A25,'Detail_Proposal_tier 1'!N$73:N$138)</f>
        <v>7125</v>
      </c>
      <c r="D25" s="9"/>
      <c r="E25" s="109"/>
      <c r="F25" s="109">
        <f ca="1">+E25+C25</f>
        <v>7125</v>
      </c>
      <c r="G25" s="109">
        <f ca="1">SUMIF('Detail_Proposal_tier 1'!$C$73:$N$138,$A25,'Detail_Proposal_tier 1'!M$73:M$138)</f>
        <v>9500</v>
      </c>
      <c r="H25"/>
    </row>
    <row r="26" spans="1:8" ht="22.5" x14ac:dyDescent="0.25">
      <c r="A26" s="238" t="str">
        <f>+'Proposal Summary - Tier 2-12'!A26</f>
        <v>ACS Tech Enterprise License Diagnostic/Programming Hardware</v>
      </c>
      <c r="B26" s="9">
        <f>SUMIF('Detail_Proposal_tier 1'!C$73:C$138,$A26,'Detail_Proposal_tier 1'!L$73:L$138)</f>
        <v>0</v>
      </c>
      <c r="C26" s="109">
        <f ca="1">SUMIF('Detail_Proposal_tier 1'!C$73:N$138,$A26,'Detail_Proposal_tier 1'!N$73:N$138)</f>
        <v>0</v>
      </c>
      <c r="D26" s="9"/>
      <c r="E26" s="109"/>
      <c r="F26" s="109">
        <f ca="1">+E26+C26</f>
        <v>0</v>
      </c>
      <c r="G26" s="109">
        <f ca="1">SUMIF('Detail_Proposal_tier 1'!$C$73:$N$138,$A26,'Detail_Proposal_tier 1'!M$73:M$138)</f>
        <v>0</v>
      </c>
      <c r="H26"/>
    </row>
    <row r="27" spans="1:8" x14ac:dyDescent="0.25">
      <c r="A27" s="238" t="str">
        <f>+'Proposal Summary - Tier 2-12'!A27</f>
        <v>ACS TLS 1.2/1.3 Crypto PCB</v>
      </c>
      <c r="B27" s="9">
        <f>SUMIF('Detail_Proposal_tier 1'!C$73:C$138,$A27,'Detail_Proposal_tier 1'!L$73:L$138)</f>
        <v>9</v>
      </c>
      <c r="C27" s="109">
        <f ca="1">SUMIF('Detail_Proposal_tier 1'!C$73:N$138,$A27,'Detail_Proposal_tier 1'!N$73:N$138)</f>
        <v>2625.75</v>
      </c>
      <c r="D27" s="9"/>
      <c r="E27" s="109"/>
      <c r="F27" s="109">
        <f ca="1">+E27+C27</f>
        <v>2625.75</v>
      </c>
      <c r="G27" s="109">
        <f ca="1">SUMIF('Detail_Proposal_tier 1'!$C$73:$N$138,$A27,'Detail_Proposal_tier 1'!M$73:M$138)</f>
        <v>3501</v>
      </c>
      <c r="H27"/>
    </row>
    <row r="28" spans="1:8" ht="22.5" x14ac:dyDescent="0.25">
      <c r="A28" s="238" t="str">
        <f>+'Proposal Summary - Tier 2-12'!A28</f>
        <v>Installation and Project Management Labor support for ACS TLS 1.2/1.3 Crypto PCB</v>
      </c>
      <c r="B28" s="9">
        <f>SUMIF('Detail_Proposal_tier 1'!C$73:C$138,$A28,'Detail_Proposal_tier 1'!L$73:L$138)</f>
        <v>0</v>
      </c>
      <c r="C28" s="109">
        <f ca="1">SUMIF('Detail_Proposal_tier 1'!C$73:N$138,$A28,'Detail_Proposal_tier 1'!N$73:N$138)</f>
        <v>0</v>
      </c>
      <c r="D28" s="9"/>
      <c r="E28" s="109"/>
      <c r="F28" s="109">
        <f ca="1">+E28+C28</f>
        <v>0</v>
      </c>
      <c r="G28" s="109">
        <f ca="1">SUMIF('Detail_Proposal_tier 1'!$C$73:$N$138,$A28,'Detail_Proposal_tier 1'!M$73:M$138)</f>
        <v>0</v>
      </c>
      <c r="H28"/>
    </row>
    <row r="29" spans="1:8" ht="22.5" x14ac:dyDescent="0.25">
      <c r="A29" s="242" t="str">
        <f>+'Proposal Summary - Tier 2-12'!A29</f>
        <v>Total One-Time ACS OSDP TLS Enterprise software Professional Services</v>
      </c>
      <c r="B29" s="183"/>
      <c r="C29" s="184">
        <f ca="1">SUM(C25:C28)</f>
        <v>9750.75</v>
      </c>
      <c r="D29" s="185"/>
      <c r="E29" s="184"/>
      <c r="F29" s="184">
        <f ca="1">+E29+C29</f>
        <v>9750.75</v>
      </c>
      <c r="G29" s="184">
        <f ca="1">SUM(G25:G28)</f>
        <v>13001</v>
      </c>
      <c r="H29"/>
    </row>
    <row r="30" spans="1:8" ht="15" customHeight="1" x14ac:dyDescent="0.25">
      <c r="A30" s="241" t="str">
        <f>+'Proposal Summary - Tier 2-12'!A30</f>
        <v>Discount off this section pricing</v>
      </c>
      <c r="B30" s="62">
        <f>+'Proposal Form Tier 1'!$B$16+'Proposal Form Tier 1'!$B$14</f>
        <v>0.25</v>
      </c>
      <c r="C30" s="103"/>
      <c r="D30" s="17"/>
      <c r="E30" s="19"/>
      <c r="F30" s="19"/>
      <c r="G30" s="19"/>
      <c r="H30"/>
    </row>
    <row r="31" spans="1:8" ht="6.75" customHeight="1" x14ac:dyDescent="0.25">
      <c r="A31" s="18">
        <f>+'Proposal Summary - Tier 2-12'!A31</f>
        <v>0</v>
      </c>
      <c r="B31" s="18"/>
      <c r="C31" s="107"/>
      <c r="D31" s="20"/>
      <c r="E31" s="107"/>
      <c r="F31" s="107"/>
      <c r="G31" s="107"/>
      <c r="H31"/>
    </row>
    <row r="32" spans="1:8" x14ac:dyDescent="0.25">
      <c r="A32" s="240" t="str">
        <f>+'Proposal Summary - Tier 2-12'!A32</f>
        <v>Grand Total Annual and One Time Service</v>
      </c>
      <c r="B32" s="186"/>
      <c r="C32" s="187">
        <f ca="1">+C21+C29</f>
        <v>21646.6875</v>
      </c>
      <c r="D32" s="186"/>
      <c r="E32" s="187">
        <f ca="1">+E21+E29</f>
        <v>2130.46875</v>
      </c>
      <c r="F32" s="187">
        <f t="shared" ref="F32:G32" ca="1" si="1">+F21+F29</f>
        <v>23777.15625</v>
      </c>
      <c r="G32" s="187">
        <f t="shared" ca="1" si="1"/>
        <v>31702.875</v>
      </c>
      <c r="H32"/>
    </row>
    <row r="33" spans="1:8" ht="5.25" customHeight="1" x14ac:dyDescent="0.25">
      <c r="A33" s="35"/>
      <c r="B33" s="36"/>
      <c r="C33" s="36"/>
      <c r="D33" s="104"/>
      <c r="E33" s="21"/>
      <c r="F33" s="24"/>
      <c r="G33" s="23"/>
      <c r="H33"/>
    </row>
    <row r="34" spans="1:8" x14ac:dyDescent="0.25">
      <c r="A34" s="138" t="s">
        <v>142</v>
      </c>
      <c r="B34" s="136"/>
      <c r="C34" s="136"/>
      <c r="D34" s="136"/>
      <c r="E34" s="136"/>
      <c r="F34" s="137"/>
      <c r="G34" s="137"/>
      <c r="H34"/>
    </row>
    <row r="35" spans="1:8" x14ac:dyDescent="0.25">
      <c r="A35" s="138" t="s">
        <v>143</v>
      </c>
      <c r="B35" s="139"/>
      <c r="C35" s="139"/>
      <c r="D35" s="139"/>
      <c r="E35" s="139"/>
      <c r="F35" s="140"/>
      <c r="G35" s="140"/>
      <c r="H35"/>
    </row>
    <row r="36" spans="1:8" ht="15" customHeight="1" x14ac:dyDescent="0.25">
      <c r="A36" s="153" t="s">
        <v>141</v>
      </c>
      <c r="B36" s="139"/>
      <c r="C36" s="139"/>
      <c r="D36" s="139"/>
      <c r="E36" s="139"/>
      <c r="F36" s="140"/>
      <c r="G36" s="140"/>
      <c r="H36"/>
    </row>
    <row r="37" spans="1:8" ht="15" customHeight="1" x14ac:dyDescent="0.25">
      <c r="A37" s="26" t="str" cm="1">
        <f t="array" aca="1" ref="A37" ca="1">CONCATENATE("R:\SalesInfo\Pricing Lists and Modules\ACS SaaS\",_xlfn.TEXTAFTER(_xlfn.TEXTBEFORE(CELL("filename"),"]"),"["))</f>
        <v>R:\SalesInfo\Pricing Lists and Modules\ACS SaaS\New_Confidential Parabit Private-Public Cloud On-Prem ACS Enterprise Tiered Software Quote Form_Rev_06-22-26.xlsx</v>
      </c>
      <c r="B37" s="135"/>
      <c r="C37"/>
      <c r="D37"/>
      <c r="E37"/>
      <c r="F37"/>
      <c r="G37"/>
      <c r="H37"/>
    </row>
    <row r="38" spans="1:8" ht="15" customHeight="1" x14ac:dyDescent="0.25">
      <c r="A38" s="30"/>
      <c r="B38" s="32"/>
      <c r="C38" s="32"/>
      <c r="D38" s="105"/>
      <c r="E38" s="32"/>
      <c r="F38" s="32"/>
      <c r="G38" s="32"/>
      <c r="H38" s="32"/>
    </row>
    <row r="39" spans="1:8" ht="15" customHeight="1" x14ac:dyDescent="0.25">
      <c r="A39" s="30"/>
      <c r="B39" s="32"/>
      <c r="C39" s="32"/>
      <c r="D39" s="105"/>
      <c r="E39" s="32"/>
      <c r="F39" s="32"/>
      <c r="G39" s="32"/>
      <c r="H39" s="32"/>
    </row>
    <row r="40" spans="1:8" ht="15" customHeight="1" x14ac:dyDescent="0.25">
      <c r="A40" s="30"/>
      <c r="B40" s="32"/>
      <c r="C40" s="32"/>
      <c r="D40" s="105"/>
      <c r="E40" s="32"/>
      <c r="F40" s="32"/>
      <c r="G40" s="32"/>
      <c r="H40" s="32"/>
    </row>
    <row r="41" spans="1:8" ht="15" customHeight="1" x14ac:dyDescent="0.25">
      <c r="A41" s="30"/>
      <c r="B41" s="32"/>
      <c r="C41" s="32"/>
      <c r="D41" s="105"/>
      <c r="E41" s="32"/>
      <c r="F41" s="32"/>
      <c r="G41" s="32"/>
      <c r="H41" s="32"/>
    </row>
    <row r="42" spans="1:8" ht="15" customHeight="1" x14ac:dyDescent="0.25">
      <c r="A42" s="30"/>
      <c r="B42" s="32"/>
      <c r="C42" s="32"/>
      <c r="D42" s="105"/>
      <c r="E42" s="32"/>
      <c r="F42" s="32"/>
      <c r="G42" s="32"/>
      <c r="H42" s="32"/>
    </row>
    <row r="43" spans="1:8" ht="15" customHeight="1" x14ac:dyDescent="0.25">
      <c r="A43" s="30"/>
      <c r="B43" s="32"/>
      <c r="C43" s="32"/>
      <c r="D43" s="105"/>
      <c r="E43" s="32"/>
      <c r="F43" s="32"/>
      <c r="G43" s="32"/>
      <c r="H43" s="32"/>
    </row>
    <row r="44" spans="1:8" ht="15" customHeight="1" x14ac:dyDescent="0.25">
      <c r="A44" s="30"/>
      <c r="B44" s="32"/>
      <c r="C44" s="32"/>
      <c r="D44" s="105"/>
      <c r="E44" s="32"/>
      <c r="F44" s="32"/>
      <c r="G44" s="32"/>
      <c r="H44" s="32"/>
    </row>
    <row r="45" spans="1:8" ht="15" customHeight="1" x14ac:dyDescent="0.25">
      <c r="A45" s="30"/>
      <c r="B45" s="32"/>
      <c r="C45" s="32"/>
      <c r="D45" s="105"/>
      <c r="E45" s="32"/>
      <c r="F45" s="32"/>
      <c r="G45" s="32"/>
      <c r="H45" s="32"/>
    </row>
    <row r="46" spans="1:8" ht="15" customHeight="1" x14ac:dyDescent="0.25">
      <c r="A46" s="30"/>
      <c r="B46" s="32"/>
      <c r="C46" s="32"/>
      <c r="D46" s="105"/>
      <c r="E46" s="32"/>
      <c r="F46" s="32"/>
      <c r="G46" s="32"/>
      <c r="H46" s="32"/>
    </row>
    <row r="47" spans="1:8" ht="15" customHeight="1" x14ac:dyDescent="0.25">
      <c r="A47" s="30"/>
      <c r="B47" s="32"/>
      <c r="C47" s="32"/>
      <c r="D47" s="105"/>
      <c r="E47" s="32"/>
      <c r="F47" s="32"/>
      <c r="G47" s="32"/>
      <c r="H47" s="32"/>
    </row>
    <row r="48" spans="1:8" ht="15" customHeight="1" x14ac:dyDescent="0.25">
      <c r="A48" s="30"/>
      <c r="B48" s="32"/>
      <c r="C48" s="32"/>
      <c r="D48" s="105"/>
      <c r="E48" s="32"/>
      <c r="F48" s="32"/>
      <c r="G48" s="32"/>
      <c r="H48" s="32"/>
    </row>
    <row r="49" spans="1:8" ht="15" customHeight="1" x14ac:dyDescent="0.25">
      <c r="A49" s="30"/>
      <c r="B49" s="32"/>
      <c r="C49" s="32"/>
      <c r="D49" s="105"/>
      <c r="E49" s="32"/>
      <c r="F49" s="32"/>
      <c r="G49" s="32"/>
      <c r="H49" s="32"/>
    </row>
    <row r="50" spans="1:8" ht="15" customHeight="1" x14ac:dyDescent="0.25">
      <c r="A50" s="30"/>
      <c r="B50" s="32"/>
      <c r="C50" s="32"/>
      <c r="D50" s="105"/>
      <c r="E50" s="32"/>
      <c r="F50" s="32"/>
      <c r="G50" s="32"/>
      <c r="H50" s="32"/>
    </row>
    <row r="51" spans="1:8" ht="15" customHeight="1" x14ac:dyDescent="0.25">
      <c r="A51" s="30"/>
      <c r="B51" s="32"/>
      <c r="C51" s="32"/>
      <c r="D51" s="105"/>
      <c r="E51" s="32"/>
      <c r="F51" s="32"/>
      <c r="G51" s="32"/>
      <c r="H51" s="32"/>
    </row>
    <row r="52" spans="1:8" ht="15" customHeight="1" x14ac:dyDescent="0.25">
      <c r="A52" s="30"/>
      <c r="B52" s="32"/>
      <c r="C52" s="32"/>
      <c r="D52" s="105"/>
      <c r="E52" s="32"/>
      <c r="F52" s="32"/>
      <c r="G52" s="32"/>
      <c r="H52" s="32"/>
    </row>
    <row r="53" spans="1:8" ht="15" customHeight="1" x14ac:dyDescent="0.25">
      <c r="A53" s="30"/>
      <c r="B53" s="32"/>
      <c r="C53" s="32"/>
      <c r="D53" s="105"/>
      <c r="E53" s="32"/>
      <c r="F53" s="32"/>
      <c r="G53" s="32"/>
      <c r="H53" s="32"/>
    </row>
    <row r="54" spans="1:8" ht="15" customHeight="1" x14ac:dyDescent="0.25">
      <c r="A54" s="30"/>
      <c r="B54" s="32"/>
      <c r="C54" s="32"/>
      <c r="D54" s="105"/>
      <c r="E54" s="32"/>
      <c r="F54" s="32"/>
      <c r="G54" s="32"/>
      <c r="H54" s="32"/>
    </row>
    <row r="55" spans="1:8" ht="15" customHeight="1" x14ac:dyDescent="0.25">
      <c r="A55" s="30"/>
      <c r="B55" s="32"/>
      <c r="C55" s="32"/>
      <c r="D55" s="105"/>
      <c r="E55" s="32"/>
      <c r="F55" s="32"/>
      <c r="G55" s="32"/>
      <c r="H55" s="32"/>
    </row>
    <row r="56" spans="1:8" ht="15" customHeight="1" x14ac:dyDescent="0.25">
      <c r="A56" s="30"/>
      <c r="B56" s="32"/>
      <c r="C56" s="32"/>
      <c r="D56" s="105"/>
      <c r="E56" s="32"/>
      <c r="F56" s="32"/>
      <c r="G56" s="32"/>
      <c r="H56" s="32"/>
    </row>
    <row r="57" spans="1:8" ht="15" customHeight="1" x14ac:dyDescent="0.25">
      <c r="A57" s="30"/>
      <c r="B57" s="32"/>
      <c r="C57" s="32"/>
      <c r="D57" s="105"/>
      <c r="E57" s="32"/>
      <c r="F57" s="32"/>
      <c r="G57" s="32"/>
      <c r="H57" s="32"/>
    </row>
    <row r="58" spans="1:8" ht="15" customHeight="1" x14ac:dyDescent="0.25">
      <c r="A58" s="30"/>
      <c r="B58" s="32"/>
      <c r="C58" s="32"/>
      <c r="D58" s="105"/>
      <c r="E58" s="32"/>
      <c r="F58" s="32"/>
      <c r="G58" s="32"/>
      <c r="H58" s="32"/>
    </row>
    <row r="59" spans="1:8" ht="15" customHeight="1" x14ac:dyDescent="0.25">
      <c r="A59" s="30"/>
      <c r="B59" s="32"/>
      <c r="C59" s="32"/>
      <c r="D59" s="105"/>
      <c r="E59" s="32"/>
      <c r="F59" s="32"/>
      <c r="G59" s="32"/>
      <c r="H59" s="32"/>
    </row>
    <row r="60" spans="1:8" ht="15" customHeight="1" x14ac:dyDescent="0.25">
      <c r="A60" s="30"/>
      <c r="B60" s="32"/>
      <c r="C60" s="32"/>
      <c r="D60" s="105"/>
      <c r="E60" s="32"/>
      <c r="F60" s="32"/>
      <c r="G60" s="32"/>
      <c r="H60" s="32"/>
    </row>
    <row r="61" spans="1:8" ht="15" customHeight="1" x14ac:dyDescent="0.25">
      <c r="A61" s="30"/>
      <c r="B61" s="32"/>
      <c r="C61" s="32"/>
      <c r="D61" s="105"/>
      <c r="E61" s="32"/>
      <c r="F61" s="32"/>
      <c r="G61" s="32"/>
      <c r="H61" s="32"/>
    </row>
    <row r="62" spans="1:8" ht="15" customHeight="1" x14ac:dyDescent="0.25">
      <c r="A62" s="30"/>
      <c r="B62" s="32"/>
      <c r="C62" s="32"/>
      <c r="D62" s="105"/>
      <c r="E62" s="32"/>
      <c r="F62" s="32"/>
      <c r="G62" s="32"/>
      <c r="H62" s="32"/>
    </row>
    <row r="63" spans="1:8" ht="15" customHeight="1" x14ac:dyDescent="0.25">
      <c r="A63" s="30"/>
      <c r="B63" s="32"/>
      <c r="C63" s="32"/>
      <c r="D63" s="105"/>
      <c r="E63" s="32"/>
      <c r="F63" s="32"/>
      <c r="G63" s="32"/>
      <c r="H63" s="32"/>
    </row>
    <row r="64" spans="1:8" ht="15" customHeight="1" x14ac:dyDescent="0.25">
      <c r="A64" s="30"/>
      <c r="B64" s="32"/>
      <c r="C64" s="32"/>
      <c r="D64" s="105"/>
      <c r="E64" s="32"/>
      <c r="F64" s="32"/>
      <c r="G64" s="32"/>
      <c r="H64" s="32"/>
    </row>
    <row r="65" spans="1:8" ht="15" customHeight="1" x14ac:dyDescent="0.25">
      <c r="A65" s="30"/>
      <c r="B65" s="32"/>
      <c r="C65" s="32"/>
      <c r="D65" s="105"/>
      <c r="E65" s="32"/>
      <c r="F65" s="32"/>
      <c r="G65" s="32"/>
      <c r="H65" s="32"/>
    </row>
    <row r="66" spans="1:8" ht="15" customHeight="1" x14ac:dyDescent="0.25">
      <c r="A66" s="30"/>
      <c r="B66" s="32"/>
      <c r="C66" s="32"/>
      <c r="D66" s="105"/>
      <c r="E66" s="32"/>
      <c r="F66" s="32"/>
      <c r="G66" s="32"/>
      <c r="H66" s="32"/>
    </row>
    <row r="67" spans="1:8" ht="15" customHeight="1" x14ac:dyDescent="0.25">
      <c r="A67" s="30"/>
      <c r="B67" s="32"/>
      <c r="C67" s="32"/>
      <c r="D67" s="105"/>
      <c r="E67" s="32"/>
      <c r="F67" s="32"/>
      <c r="G67" s="32"/>
      <c r="H67" s="32"/>
    </row>
    <row r="68" spans="1:8" ht="15" customHeight="1" x14ac:dyDescent="0.25">
      <c r="A68" s="30"/>
      <c r="B68" s="32"/>
      <c r="C68" s="32"/>
      <c r="D68" s="105"/>
      <c r="E68" s="32"/>
      <c r="F68" s="32"/>
      <c r="G68" s="32"/>
      <c r="H68" s="32"/>
    </row>
    <row r="69" spans="1:8" ht="15" customHeight="1" x14ac:dyDescent="0.25">
      <c r="A69" s="30"/>
      <c r="B69" s="32"/>
      <c r="C69" s="32"/>
      <c r="D69" s="105"/>
      <c r="E69" s="32"/>
      <c r="F69" s="32"/>
      <c r="G69" s="32"/>
      <c r="H69" s="32"/>
    </row>
    <row r="70" spans="1:8" ht="15" customHeight="1" x14ac:dyDescent="0.25">
      <c r="A70" s="30"/>
      <c r="B70" s="32"/>
      <c r="C70" s="32"/>
      <c r="D70" s="105"/>
      <c r="E70" s="32"/>
      <c r="F70" s="32"/>
      <c r="G70" s="32"/>
      <c r="H70" s="32"/>
    </row>
    <row r="71" spans="1:8" ht="15" customHeight="1" x14ac:dyDescent="0.25">
      <c r="A71" s="30"/>
      <c r="B71" s="32"/>
      <c r="C71" s="32"/>
      <c r="D71" s="105"/>
      <c r="E71" s="32"/>
      <c r="F71" s="32"/>
      <c r="G71" s="32"/>
      <c r="H71" s="32"/>
    </row>
    <row r="72" spans="1:8" ht="15" customHeight="1" x14ac:dyDescent="0.25">
      <c r="A72" s="30"/>
      <c r="B72" s="32"/>
      <c r="C72" s="32"/>
      <c r="D72" s="105"/>
      <c r="E72" s="32"/>
      <c r="F72" s="32"/>
      <c r="G72" s="32"/>
      <c r="H72" s="32"/>
    </row>
    <row r="73" spans="1:8" ht="15" customHeight="1" x14ac:dyDescent="0.25">
      <c r="A73" s="30"/>
      <c r="B73" s="32"/>
      <c r="C73" s="32"/>
      <c r="D73" s="105"/>
      <c r="E73" s="32"/>
      <c r="F73" s="32"/>
      <c r="G73" s="32"/>
      <c r="H73" s="32"/>
    </row>
    <row r="74" spans="1:8" ht="15" customHeight="1" x14ac:dyDescent="0.25">
      <c r="A74" s="30"/>
      <c r="B74" s="32"/>
      <c r="C74" s="32"/>
      <c r="D74" s="105"/>
      <c r="E74" s="32"/>
      <c r="F74" s="32"/>
      <c r="G74" s="32"/>
      <c r="H74" s="32"/>
    </row>
    <row r="75" spans="1:8" ht="15" customHeight="1" x14ac:dyDescent="0.25">
      <c r="A75" s="30"/>
      <c r="B75" s="32"/>
      <c r="C75" s="32"/>
      <c r="D75" s="105"/>
      <c r="E75" s="32"/>
      <c r="F75" s="32"/>
      <c r="G75" s="32"/>
      <c r="H75" s="32"/>
    </row>
    <row r="76" spans="1:8" ht="15" customHeight="1" x14ac:dyDescent="0.25">
      <c r="A76" s="30"/>
      <c r="B76" s="32"/>
      <c r="C76" s="32"/>
      <c r="D76" s="105"/>
      <c r="E76" s="32"/>
      <c r="F76" s="32"/>
      <c r="G76" s="32"/>
      <c r="H76" s="32"/>
    </row>
    <row r="77" spans="1:8" ht="15" customHeight="1" x14ac:dyDescent="0.25">
      <c r="A77" s="30"/>
      <c r="B77" s="32"/>
      <c r="C77" s="32"/>
      <c r="D77" s="105"/>
      <c r="E77" s="32"/>
      <c r="F77" s="32"/>
      <c r="G77" s="32"/>
      <c r="H77" s="32"/>
    </row>
    <row r="78" spans="1:8" ht="15" customHeight="1" x14ac:dyDescent="0.25">
      <c r="A78" s="30"/>
      <c r="B78" s="32"/>
      <c r="C78" s="32"/>
      <c r="D78" s="105"/>
      <c r="E78" s="32"/>
      <c r="F78" s="32"/>
      <c r="G78" s="32"/>
      <c r="H78" s="32"/>
    </row>
    <row r="79" spans="1:8" ht="15" customHeight="1" x14ac:dyDescent="0.25">
      <c r="A79" s="30"/>
      <c r="B79" s="32"/>
      <c r="C79" s="32"/>
      <c r="D79" s="105"/>
      <c r="E79" s="32"/>
      <c r="F79" s="32"/>
      <c r="G79" s="32"/>
      <c r="H79" s="32"/>
    </row>
    <row r="80" spans="1:8" ht="15" customHeight="1" x14ac:dyDescent="0.25">
      <c r="A80" s="30"/>
      <c r="B80" s="32"/>
      <c r="C80" s="32"/>
      <c r="D80" s="105"/>
      <c r="E80" s="32"/>
      <c r="F80" s="32"/>
      <c r="G80" s="32"/>
      <c r="H80" s="32"/>
    </row>
    <row r="81" spans="1:8" ht="15" customHeight="1" x14ac:dyDescent="0.25">
      <c r="A81" s="30"/>
      <c r="B81" s="32"/>
      <c r="C81" s="32"/>
      <c r="D81" s="105"/>
      <c r="E81" s="32"/>
      <c r="F81" s="32"/>
      <c r="G81" s="32"/>
      <c r="H81" s="32"/>
    </row>
    <row r="82" spans="1:8" ht="15" customHeight="1" x14ac:dyDescent="0.25">
      <c r="A82" s="30"/>
      <c r="B82" s="32"/>
      <c r="C82" s="32"/>
      <c r="D82" s="105"/>
      <c r="E82" s="32"/>
      <c r="F82" s="32"/>
      <c r="G82" s="32"/>
      <c r="H82" s="32"/>
    </row>
    <row r="83" spans="1:8" ht="15" customHeight="1" x14ac:dyDescent="0.25">
      <c r="A83" s="30"/>
      <c r="B83" s="32"/>
      <c r="C83" s="32"/>
      <c r="D83" s="105"/>
      <c r="E83" s="32"/>
      <c r="F83" s="32"/>
      <c r="G83" s="32"/>
      <c r="H83" s="32"/>
    </row>
    <row r="84" spans="1:8" ht="15" customHeight="1" x14ac:dyDescent="0.25">
      <c r="A84" s="30"/>
      <c r="B84" s="32"/>
      <c r="C84" s="32"/>
      <c r="D84" s="105"/>
      <c r="E84" s="32"/>
      <c r="F84" s="32"/>
      <c r="G84" s="32"/>
      <c r="H84" s="32"/>
    </row>
    <row r="85" spans="1:8" ht="15" customHeight="1" x14ac:dyDescent="0.25">
      <c r="A85" s="30"/>
      <c r="B85" s="32"/>
      <c r="C85" s="32"/>
      <c r="D85" s="105"/>
      <c r="E85" s="32"/>
      <c r="F85" s="32"/>
      <c r="G85" s="32"/>
      <c r="H85" s="32"/>
    </row>
    <row r="86" spans="1:8" ht="15" customHeight="1" x14ac:dyDescent="0.25">
      <c r="A86" s="30"/>
      <c r="B86" s="32"/>
      <c r="C86" s="32"/>
      <c r="D86" s="105"/>
      <c r="E86" s="32"/>
      <c r="F86" s="32"/>
      <c r="G86" s="32"/>
      <c r="H86" s="32"/>
    </row>
    <row r="87" spans="1:8" ht="15" customHeight="1" x14ac:dyDescent="0.25">
      <c r="A87" s="30"/>
      <c r="B87" s="32"/>
      <c r="C87" s="32"/>
      <c r="D87" s="105"/>
      <c r="E87" s="32"/>
      <c r="F87" s="32"/>
      <c r="G87" s="32"/>
      <c r="H87" s="32"/>
    </row>
    <row r="88" spans="1:8" ht="15" customHeight="1" x14ac:dyDescent="0.25">
      <c r="A88" s="30"/>
      <c r="B88" s="32"/>
      <c r="C88" s="32"/>
      <c r="D88" s="105"/>
      <c r="E88" s="32"/>
      <c r="F88" s="32"/>
      <c r="G88" s="32"/>
      <c r="H88" s="32"/>
    </row>
    <row r="89" spans="1:8" ht="15" customHeight="1" x14ac:dyDescent="0.25">
      <c r="A89" s="30"/>
      <c r="B89" s="32"/>
      <c r="C89" s="32"/>
      <c r="D89" s="105"/>
      <c r="E89" s="32"/>
      <c r="F89" s="32"/>
      <c r="G89" s="32"/>
      <c r="H89" s="32"/>
    </row>
    <row r="90" spans="1:8" ht="15" customHeight="1" x14ac:dyDescent="0.25">
      <c r="A90" s="30"/>
      <c r="B90" s="32"/>
      <c r="C90" s="32"/>
      <c r="D90" s="105"/>
      <c r="E90" s="32"/>
      <c r="F90" s="32"/>
      <c r="G90" s="32"/>
      <c r="H90" s="32"/>
    </row>
    <row r="91" spans="1:8" ht="15" customHeight="1" x14ac:dyDescent="0.25">
      <c r="A91" s="30"/>
      <c r="B91" s="32"/>
      <c r="C91" s="32"/>
      <c r="D91" s="105"/>
      <c r="E91" s="32"/>
      <c r="F91" s="32"/>
      <c r="G91" s="32"/>
      <c r="H91" s="32"/>
    </row>
    <row r="92" spans="1:8" ht="15" customHeight="1" x14ac:dyDescent="0.25">
      <c r="A92" s="30"/>
      <c r="B92" s="32"/>
      <c r="C92" s="32"/>
      <c r="D92" s="105"/>
      <c r="E92" s="32"/>
      <c r="F92" s="32"/>
      <c r="G92" s="32"/>
      <c r="H92" s="32"/>
    </row>
    <row r="93" spans="1:8" ht="15" customHeight="1" x14ac:dyDescent="0.25">
      <c r="A93" s="30"/>
      <c r="B93" s="32"/>
      <c r="C93" s="32"/>
      <c r="D93" s="105"/>
      <c r="E93" s="32"/>
      <c r="F93" s="32"/>
      <c r="G93" s="32"/>
      <c r="H93" s="32"/>
    </row>
    <row r="94" spans="1:8" ht="15" customHeight="1" x14ac:dyDescent="0.25">
      <c r="A94" s="30"/>
      <c r="B94" s="32"/>
      <c r="C94" s="32"/>
      <c r="D94" s="105"/>
      <c r="E94" s="32"/>
      <c r="F94" s="32"/>
      <c r="G94" s="32"/>
      <c r="H94" s="32"/>
    </row>
    <row r="95" spans="1:8" ht="15" customHeight="1" x14ac:dyDescent="0.25">
      <c r="A95" s="30"/>
      <c r="B95" s="32"/>
      <c r="C95" s="32"/>
      <c r="D95" s="105"/>
      <c r="E95" s="32"/>
      <c r="F95" s="32"/>
      <c r="G95" s="32"/>
      <c r="H95" s="32"/>
    </row>
    <row r="96" spans="1:8" ht="15" customHeight="1" x14ac:dyDescent="0.25">
      <c r="A96" s="30"/>
      <c r="B96" s="32"/>
      <c r="C96" s="32"/>
      <c r="D96" s="105"/>
      <c r="E96" s="32"/>
      <c r="F96" s="32"/>
      <c r="G96" s="32"/>
      <c r="H96" s="32"/>
    </row>
    <row r="97" spans="1:8" ht="15" customHeight="1" x14ac:dyDescent="0.25">
      <c r="A97" s="30"/>
      <c r="B97" s="32"/>
      <c r="C97" s="32"/>
      <c r="D97" s="105"/>
      <c r="E97" s="32"/>
      <c r="F97" s="32"/>
      <c r="G97" s="32"/>
      <c r="H97" s="32"/>
    </row>
    <row r="98" spans="1:8" ht="15" customHeight="1" x14ac:dyDescent="0.25">
      <c r="A98" s="30"/>
      <c r="B98" s="32"/>
      <c r="C98" s="32"/>
      <c r="D98" s="105"/>
      <c r="E98" s="32"/>
      <c r="F98" s="32"/>
      <c r="G98" s="32"/>
      <c r="H98" s="32"/>
    </row>
    <row r="99" spans="1:8" ht="15" customHeight="1" x14ac:dyDescent="0.25">
      <c r="A99" s="30"/>
      <c r="B99" s="32"/>
      <c r="C99" s="32"/>
      <c r="D99" s="105"/>
      <c r="E99" s="32"/>
      <c r="F99" s="32"/>
      <c r="G99" s="32"/>
      <c r="H99" s="32"/>
    </row>
    <row r="100" spans="1:8" ht="15" customHeight="1" x14ac:dyDescent="0.25">
      <c r="A100" s="30"/>
      <c r="B100" s="32"/>
      <c r="C100" s="32"/>
      <c r="D100" s="105"/>
      <c r="E100" s="32"/>
      <c r="F100" s="32"/>
      <c r="G100" s="32"/>
      <c r="H100" s="32"/>
    </row>
    <row r="101" spans="1:8" ht="15" customHeight="1" x14ac:dyDescent="0.25">
      <c r="A101" s="30"/>
      <c r="B101" s="32"/>
      <c r="C101" s="32"/>
      <c r="D101" s="105"/>
      <c r="E101" s="32"/>
      <c r="F101" s="32"/>
      <c r="G101" s="32"/>
      <c r="H101" s="32"/>
    </row>
    <row r="102" spans="1:8" ht="15" customHeight="1" x14ac:dyDescent="0.25">
      <c r="A102" s="30"/>
      <c r="B102" s="32"/>
      <c r="C102" s="32"/>
      <c r="D102" s="105"/>
      <c r="E102" s="32"/>
      <c r="F102" s="32"/>
      <c r="G102" s="32"/>
      <c r="H102" s="32"/>
    </row>
    <row r="103" spans="1:8" ht="15" customHeight="1" x14ac:dyDescent="0.25">
      <c r="A103" s="30"/>
      <c r="B103" s="32"/>
      <c r="C103" s="32"/>
      <c r="D103" s="105"/>
      <c r="E103" s="32"/>
      <c r="F103" s="32"/>
      <c r="G103" s="32"/>
      <c r="H103" s="32"/>
    </row>
    <row r="104" spans="1:8" ht="15" customHeight="1" x14ac:dyDescent="0.25">
      <c r="A104" s="30"/>
      <c r="B104" s="32"/>
      <c r="C104" s="32"/>
      <c r="D104" s="105"/>
      <c r="E104" s="32"/>
      <c r="F104" s="32"/>
      <c r="G104" s="32"/>
      <c r="H104" s="32"/>
    </row>
    <row r="105" spans="1:8" ht="15" customHeight="1" x14ac:dyDescent="0.25">
      <c r="A105" s="30"/>
      <c r="B105" s="32"/>
      <c r="C105" s="32"/>
      <c r="D105" s="105"/>
      <c r="E105" s="32"/>
      <c r="F105" s="32"/>
      <c r="G105" s="32"/>
      <c r="H105" s="32"/>
    </row>
    <row r="106" spans="1:8" ht="15" customHeight="1" x14ac:dyDescent="0.25">
      <c r="A106" s="30"/>
      <c r="B106" s="32"/>
      <c r="C106" s="32"/>
      <c r="D106" s="105"/>
      <c r="E106" s="32"/>
      <c r="F106" s="32"/>
      <c r="G106" s="32"/>
      <c r="H106" s="32"/>
    </row>
  </sheetData>
  <sheetProtection formatCells="0" formatColumns="0" formatRows="0" sort="0" pivotTables="0"/>
  <mergeCells count="3">
    <mergeCell ref="A1:G1"/>
    <mergeCell ref="A2:G2"/>
    <mergeCell ref="A3:G3"/>
  </mergeCells>
  <conditionalFormatting sqref="A37">
    <cfRule type="expression" dxfId="36" priority="1">
      <formula>"FIND(""Total"",C:C)"</formula>
    </cfRule>
  </conditionalFormatting>
  <printOptions horizontalCentered="1"/>
  <pageMargins left="0.25" right="0.25" top="1.25" bottom="0.5" header="0.3" footer="0.3"/>
  <pageSetup orientation="portrait" r:id="rId1"/>
  <headerFooter>
    <oddFooter>&amp;RPage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6D0CA-3EFB-47D3-8349-710E46EE34C9}">
  <sheetPr codeName="Sheet4">
    <tabColor theme="4"/>
  </sheetPr>
  <dimension ref="A1:E61"/>
  <sheetViews>
    <sheetView zoomScale="150" zoomScaleNormal="150" workbookViewId="0">
      <pane xSplit="1" ySplit="1" topLeftCell="B46" activePane="bottomRight" state="frozen"/>
      <selection pane="topRight" activeCell="B1" sqref="B1"/>
      <selection pane="bottomLeft" activeCell="A2" sqref="A2"/>
      <selection pane="bottomRight" activeCell="A53" sqref="A53:E61"/>
    </sheetView>
  </sheetViews>
  <sheetFormatPr defaultRowHeight="15" x14ac:dyDescent="0.25"/>
  <cols>
    <col min="1" max="1" width="75.7109375" customWidth="1"/>
    <col min="2" max="2" width="28.28515625" customWidth="1"/>
    <col min="3" max="3" width="16.7109375" style="66" customWidth="1"/>
    <col min="4" max="4" width="13.140625" customWidth="1"/>
    <col min="5" max="5" width="53.85546875" customWidth="1"/>
  </cols>
  <sheetData>
    <row r="1" spans="1:5" x14ac:dyDescent="0.25">
      <c r="A1" s="71" t="s">
        <v>158</v>
      </c>
      <c r="B1" s="72" t="s">
        <v>164</v>
      </c>
      <c r="C1" s="75"/>
      <c r="D1" s="73"/>
      <c r="E1" s="73" t="s">
        <v>609</v>
      </c>
    </row>
    <row r="2" spans="1:5" ht="18.75" x14ac:dyDescent="0.3">
      <c r="A2" s="44" t="s">
        <v>179</v>
      </c>
      <c r="B2" s="143" t="s">
        <v>643</v>
      </c>
      <c r="C2" s="46"/>
      <c r="D2" s="46"/>
      <c r="E2" s="46"/>
    </row>
    <row r="3" spans="1:5" ht="18.75" x14ac:dyDescent="0.3">
      <c r="A3" s="44" t="s">
        <v>629</v>
      </c>
      <c r="B3" s="45">
        <v>2200</v>
      </c>
      <c r="C3" s="70"/>
      <c r="D3" s="43"/>
      <c r="E3" s="46"/>
    </row>
    <row r="4" spans="1:5" ht="45.75" x14ac:dyDescent="0.3">
      <c r="A4" s="44"/>
      <c r="B4" s="43"/>
      <c r="C4" s="75" t="s">
        <v>634</v>
      </c>
      <c r="D4" s="73" t="s">
        <v>635</v>
      </c>
      <c r="E4" s="73"/>
    </row>
    <row r="5" spans="1:5" ht="45.75" customHeight="1" x14ac:dyDescent="0.3">
      <c r="A5" s="44" t="s">
        <v>605</v>
      </c>
      <c r="B5" s="165" t="str">
        <f>_xlfn.XLOOKUP($B$3,Tiers_list!$D:$D,Tiers_list!$A:$A,,1)</f>
        <v>Tier 11 - 2001 - 3000</v>
      </c>
      <c r="C5" s="70">
        <f>_xlfn.XLOOKUP('Proposal Form Tier 2-12'!$B$5,Tiers_list!$A:$A,Tiers_list!C:C,,0)</f>
        <v>2001</v>
      </c>
      <c r="D5" s="70">
        <f>_xlfn.XLOOKUP('Proposal Form Tier 2-12'!$B$5,Tiers_list!$A:$A,Tiers_list!D:D,,0)</f>
        <v>3000</v>
      </c>
      <c r="E5" s="130" t="str">
        <f>IF(B5="Tier  - 1 - 10","This Sheet is notintended for Tier 1. If controller less than 11 use 'Basic Form Tier 1'","")</f>
        <v/>
      </c>
    </row>
    <row r="6" spans="1:5" ht="18.75" x14ac:dyDescent="0.3">
      <c r="A6" s="44" t="s">
        <v>608</v>
      </c>
      <c r="B6" s="45">
        <v>1</v>
      </c>
      <c r="C6" s="70"/>
      <c r="D6" s="43"/>
      <c r="E6" s="46"/>
    </row>
    <row r="7" spans="1:5" ht="18.75" x14ac:dyDescent="0.3">
      <c r="A7" s="47"/>
      <c r="B7" s="48"/>
      <c r="C7" s="141"/>
      <c r="D7" s="49"/>
      <c r="E7" s="50"/>
    </row>
    <row r="8" spans="1:5" ht="18.75" x14ac:dyDescent="0.3">
      <c r="A8" s="44" t="s">
        <v>113</v>
      </c>
      <c r="B8" s="45">
        <v>1</v>
      </c>
      <c r="C8" s="70"/>
      <c r="D8" s="43"/>
      <c r="E8" s="46"/>
    </row>
    <row r="9" spans="1:5" ht="18.75" x14ac:dyDescent="0.3">
      <c r="A9" s="44" t="s">
        <v>606</v>
      </c>
      <c r="B9" s="45">
        <v>0</v>
      </c>
      <c r="C9" s="70"/>
      <c r="D9" s="43"/>
      <c r="E9" s="46"/>
    </row>
    <row r="10" spans="1:5" ht="18.75" x14ac:dyDescent="0.3">
      <c r="A10" s="44" t="s">
        <v>607</v>
      </c>
      <c r="B10" s="45">
        <v>0</v>
      </c>
      <c r="C10" s="70"/>
      <c r="D10" s="43"/>
      <c r="E10" s="46"/>
    </row>
    <row r="11" spans="1:5" ht="18.75" x14ac:dyDescent="0.3">
      <c r="A11" s="44" t="s">
        <v>159</v>
      </c>
      <c r="B11" s="69">
        <f>SUM(B8:B10)</f>
        <v>1</v>
      </c>
      <c r="C11" s="70"/>
      <c r="D11" s="43"/>
      <c r="E11" s="46"/>
    </row>
    <row r="12" spans="1:5" ht="18.75" x14ac:dyDescent="0.3">
      <c r="A12" s="44" t="s">
        <v>618</v>
      </c>
      <c r="B12" s="102">
        <v>0.5</v>
      </c>
      <c r="C12" s="70"/>
      <c r="D12" s="43"/>
      <c r="E12" s="46"/>
    </row>
    <row r="13" spans="1:5" x14ac:dyDescent="0.25">
      <c r="A13" s="100"/>
      <c r="B13" s="100"/>
      <c r="C13" s="142"/>
      <c r="D13" s="101"/>
      <c r="E13" s="46"/>
    </row>
    <row r="14" spans="1:5" ht="25.5" customHeight="1" x14ac:dyDescent="0.3">
      <c r="A14" s="44" t="s">
        <v>603</v>
      </c>
      <c r="B14" s="68">
        <f>_xlfn.XLOOKUP(B2,End_user!A:A,End_user!B:B,0,0)</f>
        <v>0</v>
      </c>
      <c r="C14" s="70"/>
      <c r="D14" s="43"/>
      <c r="E14" s="46"/>
    </row>
    <row r="15" spans="1:5" ht="18.75" x14ac:dyDescent="0.3">
      <c r="A15" s="44" t="s">
        <v>178</v>
      </c>
      <c r="B15" s="244" t="s">
        <v>243</v>
      </c>
      <c r="C15" s="245"/>
      <c r="D15" s="246"/>
      <c r="E15" s="46"/>
    </row>
    <row r="16" spans="1:5" ht="18.75" x14ac:dyDescent="0.3">
      <c r="A16" s="44" t="s">
        <v>602</v>
      </c>
      <c r="B16" s="68">
        <f>_xlfn.XLOOKUP(B15,'Integrator List'!A:A,'Integrator List'!B:B,0,0)</f>
        <v>0.25</v>
      </c>
      <c r="C16" s="70"/>
      <c r="D16" s="43"/>
      <c r="E16" s="46"/>
    </row>
    <row r="17" spans="1:5" ht="18.75" x14ac:dyDescent="0.3">
      <c r="A17" s="61"/>
      <c r="B17" s="61"/>
    </row>
    <row r="19" spans="1:5" s="77" customFormat="1" ht="18.75" x14ac:dyDescent="0.3">
      <c r="A19" s="74" t="s">
        <v>632</v>
      </c>
      <c r="B19" s="72" t="s">
        <v>164</v>
      </c>
      <c r="C19" s="75" t="s">
        <v>174</v>
      </c>
      <c r="D19" s="75" t="s">
        <v>175</v>
      </c>
      <c r="E19" s="76"/>
    </row>
    <row r="20" spans="1:5" ht="30" x14ac:dyDescent="0.3">
      <c r="A20" s="133" t="str">
        <f>_xlfn.XLOOKUP($C20,Tiers_list!$2:$2,Tiers_list!$1:$1,,0)</f>
        <v>ACS system data non cloud integration / parser to 3rd party systems ACS Event Messages, Credentials and User Logs Module</v>
      </c>
      <c r="B20" s="59">
        <v>1</v>
      </c>
      <c r="C20" s="70" t="s">
        <v>64</v>
      </c>
      <c r="D20" s="2" t="s">
        <v>20</v>
      </c>
      <c r="E20" s="43" t="s">
        <v>612</v>
      </c>
    </row>
    <row r="21" spans="1:5" ht="18.75" x14ac:dyDescent="0.3">
      <c r="A21" s="133" t="str">
        <f>_xlfn.XLOOKUP($C21,Tiers_list!$2:$2,Tiers_list!$1:$1,,0)</f>
        <v>ACS Job Scheduler Service Module</v>
      </c>
      <c r="B21" s="59">
        <v>1</v>
      </c>
      <c r="C21" s="70" t="s">
        <v>71</v>
      </c>
      <c r="D21" s="2" t="s">
        <v>20</v>
      </c>
      <c r="E21" s="43" t="s">
        <v>612</v>
      </c>
    </row>
    <row r="22" spans="1:5" ht="18.75" x14ac:dyDescent="0.3">
      <c r="A22" s="133" t="str">
        <f>_xlfn.XLOOKUP($C22,Tiers_list!$2:$2,Tiers_list!$1:$1,,0)</f>
        <v>AFH / Data Collection Service Module</v>
      </c>
      <c r="B22" s="59">
        <v>1</v>
      </c>
      <c r="C22" s="70" t="s">
        <v>61</v>
      </c>
      <c r="D22" s="2" t="s">
        <v>20</v>
      </c>
      <c r="E22" s="43" t="s">
        <v>612</v>
      </c>
    </row>
    <row r="23" spans="1:5" ht="18.75" x14ac:dyDescent="0.3">
      <c r="A23" s="133" t="str">
        <f>_xlfn.XLOOKUP($C23,Tiers_list!$2:$2,Tiers_list!$1:$1,,0)</f>
        <v>Remote ACS Hardware firmware updates Module</v>
      </c>
      <c r="B23" s="59">
        <v>1</v>
      </c>
      <c r="C23" s="70" t="s">
        <v>62</v>
      </c>
      <c r="D23" s="2" t="s">
        <v>20</v>
      </c>
      <c r="E23" s="43" t="s">
        <v>612</v>
      </c>
    </row>
    <row r="24" spans="1:5" ht="18.75" x14ac:dyDescent="0.3">
      <c r="A24" s="133" t="str">
        <f>_xlfn.XLOOKUP($C24,Tiers_list!$2:$2,Tiers_list!$1:$1,,0)</f>
        <v>Reader Credentials Accepted and Rejected Supervision Module</v>
      </c>
      <c r="B24" s="59">
        <v>1</v>
      </c>
      <c r="C24" s="70" t="s">
        <v>78</v>
      </c>
      <c r="D24" s="2" t="s">
        <v>20</v>
      </c>
      <c r="E24" s="43" t="s">
        <v>612</v>
      </c>
    </row>
    <row r="25" spans="1:5" ht="18.75" x14ac:dyDescent="0.3">
      <c r="A25" s="133"/>
      <c r="B25" s="159"/>
      <c r="C25" s="70"/>
      <c r="D25" s="2"/>
      <c r="E25" s="43"/>
    </row>
    <row r="26" spans="1:5" ht="18.75" x14ac:dyDescent="0.3">
      <c r="A26" s="133" t="str">
        <f>_xlfn.XLOOKUP($C26,Tiers_list!$2:$2,Tiers_list!$1:$1,,0)</f>
        <v>ACS TLS 1.2/1.3 PCB</v>
      </c>
      <c r="B26" s="159">
        <f>+B3</f>
        <v>2200</v>
      </c>
      <c r="C26" s="70" t="s">
        <v>79</v>
      </c>
      <c r="D26" s="2" t="s">
        <v>20</v>
      </c>
      <c r="E26" s="43" t="s">
        <v>612</v>
      </c>
    </row>
    <row r="27" spans="1:5" ht="18.75" x14ac:dyDescent="0.3">
      <c r="A27" s="133" t="str">
        <f>_xlfn.XLOOKUP($C27,Tiers_list!$2:$2,Tiers_list!$1:$1,,0)</f>
        <v>24/7 ACS Enterprise Telephone Support</v>
      </c>
      <c r="B27" s="59">
        <v>1</v>
      </c>
      <c r="C27" s="70" t="s">
        <v>157</v>
      </c>
      <c r="D27" s="2" t="s">
        <v>20</v>
      </c>
      <c r="E27" s="43" t="s">
        <v>615</v>
      </c>
    </row>
    <row r="28" spans="1:5" ht="33.75" x14ac:dyDescent="0.3">
      <c r="A28" s="133" t="str">
        <f>_xlfn.XLOOKUP($C28,Tiers_list!$2:$2,Tiers_list!$1:$1,,0)</f>
        <v>Annual Remote Training ACS</v>
      </c>
      <c r="B28" s="59">
        <v>1</v>
      </c>
      <c r="C28" s="70" t="s">
        <v>181</v>
      </c>
      <c r="D28" s="5" t="s">
        <v>165</v>
      </c>
      <c r="E28" s="43" t="s">
        <v>612</v>
      </c>
    </row>
    <row r="29" spans="1:5" ht="18.75" x14ac:dyDescent="0.3">
      <c r="A29" s="133"/>
      <c r="B29" s="159"/>
      <c r="C29" s="70"/>
      <c r="D29" s="5"/>
      <c r="E29" s="43"/>
    </row>
    <row r="30" spans="1:5" ht="18.75" x14ac:dyDescent="0.3">
      <c r="A30" s="133" t="str">
        <f>_xlfn.XLOOKUP($C30,Tiers_list!$2:$2,Tiers_list!$1:$1,,0)</f>
        <v>ACS Enterprise - Tech Software License - Annual Software Assurance</v>
      </c>
      <c r="B30" s="159">
        <v>1</v>
      </c>
      <c r="C30" s="70" t="s">
        <v>616</v>
      </c>
      <c r="D30" s="2" t="s">
        <v>20</v>
      </c>
      <c r="E30" s="43" t="s">
        <v>612</v>
      </c>
    </row>
    <row r="31" spans="1:5" s="77" customFormat="1" x14ac:dyDescent="0.25">
      <c r="A31"/>
      <c r="B31" s="58"/>
      <c r="C31" s="66"/>
      <c r="D31"/>
      <c r="E31"/>
    </row>
    <row r="32" spans="1:5" ht="18.75" x14ac:dyDescent="0.3">
      <c r="A32" s="74" t="s">
        <v>633</v>
      </c>
      <c r="B32" s="161" t="s">
        <v>164</v>
      </c>
      <c r="C32" s="75" t="str">
        <f>+C19</f>
        <v>Product Number</v>
      </c>
      <c r="D32" s="75" t="s">
        <v>175</v>
      </c>
      <c r="E32" s="76"/>
    </row>
    <row r="33" spans="1:5" ht="18.75" x14ac:dyDescent="0.3">
      <c r="A33" s="133" t="str">
        <f>_xlfn.XLOOKUP($C33,Tiers_list!$2:$2,Tiers_list!$1:$1,,0)</f>
        <v>TLS 1.2/1.3 PCB</v>
      </c>
      <c r="B33" s="159">
        <f>+B26</f>
        <v>2200</v>
      </c>
      <c r="C33" s="57" t="s">
        <v>124</v>
      </c>
      <c r="D33" s="2" t="s">
        <v>20</v>
      </c>
      <c r="E33" s="43" t="s">
        <v>611</v>
      </c>
    </row>
    <row r="34" spans="1:5" ht="30" x14ac:dyDescent="0.3">
      <c r="A34" s="133" t="str">
        <f>_xlfn.XLOOKUP($C34,Tiers_list!$2:$2,Tiers_list!$1:$1,,0)</f>
        <v>ACS Enterprise - Hardware - Controller Firmware Programmer  KIT - No license Provided.</v>
      </c>
      <c r="B34" s="59">
        <v>1</v>
      </c>
      <c r="C34" s="57" t="s">
        <v>645</v>
      </c>
      <c r="D34" s="2" t="s">
        <v>20</v>
      </c>
      <c r="E34" s="43" t="s">
        <v>611</v>
      </c>
    </row>
    <row r="35" spans="1:5" x14ac:dyDescent="0.25">
      <c r="A35" s="133"/>
      <c r="B35" s="162"/>
      <c r="C35" s="57"/>
      <c r="D35" s="2"/>
      <c r="E35" s="43"/>
    </row>
    <row r="36" spans="1:5" ht="18.75" x14ac:dyDescent="0.3">
      <c r="A36" s="133" t="s">
        <v>167</v>
      </c>
      <c r="B36" s="159">
        <f>+IF(B15="Parabit Systems, Inc.",B3,0)</f>
        <v>0</v>
      </c>
      <c r="C36" s="57" t="s">
        <v>170</v>
      </c>
      <c r="D36" s="2" t="s">
        <v>20</v>
      </c>
      <c r="E36" s="43" t="s">
        <v>614</v>
      </c>
    </row>
    <row r="37" spans="1:5" ht="18.75" x14ac:dyDescent="0.3">
      <c r="A37" s="133" t="s">
        <v>168</v>
      </c>
      <c r="B37" s="159">
        <f>+B36*2</f>
        <v>0</v>
      </c>
      <c r="C37" s="57" t="s">
        <v>171</v>
      </c>
      <c r="D37" s="2" t="s">
        <v>20</v>
      </c>
      <c r="E37" s="43" t="s">
        <v>614</v>
      </c>
    </row>
    <row r="38" spans="1:5" s="77" customFormat="1" ht="18.75" x14ac:dyDescent="0.3">
      <c r="A38" s="133" t="s">
        <v>169</v>
      </c>
      <c r="B38" s="159">
        <f>0.15*B36</f>
        <v>0</v>
      </c>
      <c r="C38" s="57" t="s">
        <v>172</v>
      </c>
      <c r="D38" s="2" t="s">
        <v>20</v>
      </c>
      <c r="E38" s="43" t="s">
        <v>614</v>
      </c>
    </row>
    <row r="39" spans="1:5" x14ac:dyDescent="0.25">
      <c r="B39" s="58"/>
    </row>
    <row r="40" spans="1:5" ht="31.5" x14ac:dyDescent="0.25">
      <c r="A40" s="78" t="s">
        <v>610</v>
      </c>
      <c r="B40" s="78" t="s">
        <v>164</v>
      </c>
      <c r="C40" s="79" t="str">
        <f>+C32</f>
        <v>Product Number</v>
      </c>
      <c r="D40" s="79" t="s">
        <v>175</v>
      </c>
      <c r="E40" s="76" t="s">
        <v>176</v>
      </c>
    </row>
    <row r="41" spans="1:5" ht="18.75" x14ac:dyDescent="0.25">
      <c r="A41" s="133" t="str">
        <f>_xlfn.XLOOKUP($C41,Tiers_list!$2:$2,Tiers_list!$1:$1,,0)</f>
        <v>Controller/Reader Credential Enrollment Management Module</v>
      </c>
      <c r="B41" s="56">
        <v>0</v>
      </c>
      <c r="C41" s="57" t="s">
        <v>6</v>
      </c>
      <c r="D41" s="2" t="s">
        <v>20</v>
      </c>
      <c r="E41" s="43"/>
    </row>
    <row r="42" spans="1:5" ht="30" x14ac:dyDescent="0.25">
      <c r="A42" s="133" t="str">
        <f>_xlfn.XLOOKUP($C42,Tiers_list!$2:$2,Tiers_list!$1:$1,,0)</f>
        <v>ACS system data cloud integration to 3rd party systems ACS Event Messages, Credentials and User Logs Module</v>
      </c>
      <c r="B42" s="56">
        <v>0</v>
      </c>
      <c r="C42" s="57" t="s">
        <v>9</v>
      </c>
      <c r="D42" s="2" t="s">
        <v>20</v>
      </c>
      <c r="E42" s="43"/>
    </row>
    <row r="43" spans="1:5" ht="18.75" x14ac:dyDescent="0.25">
      <c r="A43" s="133" t="str">
        <f>_xlfn.XLOOKUP($C43,Tiers_list!$2:$2,Tiers_list!$1:$1,,0)</f>
        <v>Email/Text EMR Notifier Service Module</v>
      </c>
      <c r="B43" s="56">
        <v>0</v>
      </c>
      <c r="C43" s="57" t="s">
        <v>10</v>
      </c>
      <c r="D43" s="2" t="s">
        <v>20</v>
      </c>
      <c r="E43" s="43"/>
    </row>
    <row r="44" spans="1:5" ht="18.75" x14ac:dyDescent="0.25">
      <c r="A44" s="133" t="str">
        <f>_xlfn.XLOOKUP($C44,Tiers_list!$2:$2,Tiers_list!$1:$1,,0)</f>
        <v>ACS controller Reader Remote Credential Lookup with Local learn Module</v>
      </c>
      <c r="B44" s="56">
        <v>0</v>
      </c>
      <c r="C44" s="57" t="s">
        <v>11</v>
      </c>
      <c r="D44" s="2" t="s">
        <v>20</v>
      </c>
      <c r="E44" s="43"/>
    </row>
    <row r="45" spans="1:5" ht="18.75" x14ac:dyDescent="0.25">
      <c r="A45" s="133" t="str">
        <f>_xlfn.XLOOKUP($C45,Tiers_list!$2:$2,Tiers_list!$1:$1,,0)</f>
        <v>HR &amp; Time Attendance Credential Integration Module</v>
      </c>
      <c r="B45" s="56">
        <v>0</v>
      </c>
      <c r="C45" s="57" t="s">
        <v>13</v>
      </c>
      <c r="D45" s="2" t="s">
        <v>20</v>
      </c>
      <c r="E45" s="43"/>
    </row>
    <row r="46" spans="1:5" ht="18.75" x14ac:dyDescent="0.25">
      <c r="A46" s="133" t="str">
        <f>_xlfn.XLOOKUP($C46,Tiers_list!$2:$2,Tiers_list!$1:$1,,0)</f>
        <v>ACS Hardware and Facility Sensor Data Integration(s) Module</v>
      </c>
      <c r="B46" s="56">
        <v>0</v>
      </c>
      <c r="C46" s="57" t="s">
        <v>66</v>
      </c>
      <c r="D46" s="2" t="s">
        <v>20</v>
      </c>
      <c r="E46" s="43"/>
    </row>
    <row r="47" spans="1:5" ht="30" x14ac:dyDescent="0.25">
      <c r="A47" s="133" t="str">
        <f>_xlfn.XLOOKUP($C47,Tiers_list!$2:$2,Tiers_list!$1:$1,,0)</f>
        <v>Suspend distribution of Select or All Event Messages generated by ACS hardware and software Module</v>
      </c>
      <c r="B47" s="56">
        <v>0</v>
      </c>
      <c r="C47" s="57" t="s">
        <v>70</v>
      </c>
      <c r="D47" s="2" t="s">
        <v>20</v>
      </c>
      <c r="E47" s="43"/>
    </row>
    <row r="48" spans="1:5" ht="18.75" x14ac:dyDescent="0.25">
      <c r="A48" s="133" t="str">
        <f>_xlfn.XLOOKUP($C48,Tiers_list!$2:$2,Tiers_list!$1:$1,,0)</f>
        <v>Door / Entrance Supervision Configuration Module</v>
      </c>
      <c r="B48" s="56">
        <v>0</v>
      </c>
      <c r="C48" s="57" t="s">
        <v>72</v>
      </c>
      <c r="D48" s="2" t="s">
        <v>20</v>
      </c>
      <c r="E48" s="43"/>
    </row>
    <row r="49" spans="1:5" ht="18.75" x14ac:dyDescent="0.25">
      <c r="A49" s="133" t="str">
        <f>_xlfn.XLOOKUP($C49,Tiers_list!$2:$2,Tiers_list!$1:$1,,0)</f>
        <v>ACS Controller Software Integrations DB Ecosystem Supervision Module</v>
      </c>
      <c r="B49" s="56">
        <v>0</v>
      </c>
      <c r="C49" s="57" t="s">
        <v>77</v>
      </c>
      <c r="D49" s="2" t="s">
        <v>20</v>
      </c>
      <c r="E49" s="43"/>
    </row>
    <row r="51" spans="1:5" ht="18.75" x14ac:dyDescent="0.25">
      <c r="A51" s="133" t="str">
        <f>_xlfn.XLOOKUP($C51,Tiers_list!$2:$2,Tiers_list!$1:$1,,0)</f>
        <v>Silent Installer with ACS Enterprise software license Cloud Key Validation</v>
      </c>
      <c r="B51" s="151">
        <v>1</v>
      </c>
      <c r="C51" s="57" t="s">
        <v>3</v>
      </c>
      <c r="D51" s="2" t="s">
        <v>20</v>
      </c>
      <c r="E51" s="43" t="s">
        <v>640</v>
      </c>
    </row>
    <row r="52" spans="1:5" ht="18.75" x14ac:dyDescent="0.25">
      <c r="A52" s="133" t="str">
        <f>_xlfn.XLOOKUP($C52,Tiers_list!$2:$2,Tiers_list!$1:$1,,0)</f>
        <v>Parabit Cloud App/DB Software Instance Activation/Term Management</v>
      </c>
      <c r="B52" s="151">
        <v>1</v>
      </c>
      <c r="C52" s="57" t="s">
        <v>4</v>
      </c>
      <c r="D52" s="2" t="s">
        <v>20</v>
      </c>
      <c r="E52" s="43" t="s">
        <v>640</v>
      </c>
    </row>
    <row r="53" spans="1:5" ht="18.75" x14ac:dyDescent="0.25">
      <c r="A53" s="133" t="str">
        <f>_xlfn.XLOOKUP($C53,Tiers_list!$2:$2,Tiers_list!$1:$1,,0)</f>
        <v>ACS controller Reader Remote Credential Lookup with Local learn Module</v>
      </c>
      <c r="B53" s="56">
        <v>0</v>
      </c>
      <c r="C53" s="258" t="s">
        <v>741</v>
      </c>
      <c r="D53" s="2" t="s">
        <v>20</v>
      </c>
      <c r="E53" s="43"/>
    </row>
    <row r="54" spans="1:5" ht="18.75" x14ac:dyDescent="0.25">
      <c r="A54" s="133" t="str">
        <f>_xlfn.XLOOKUP($C54,Tiers_list!$2:$2,Tiers_list!$1:$1,,0)</f>
        <v>ACS controller Reader Remote Credential Lookup with Local learn Module</v>
      </c>
      <c r="B54" s="56">
        <v>0</v>
      </c>
      <c r="C54" s="258" t="s">
        <v>742</v>
      </c>
      <c r="D54" s="2" t="s">
        <v>20</v>
      </c>
      <c r="E54" s="43"/>
    </row>
    <row r="55" spans="1:5" ht="18.75" x14ac:dyDescent="0.25">
      <c r="A55" s="133" t="str">
        <f>_xlfn.XLOOKUP($C55,Tiers_list!$2:$2,Tiers_list!$1:$1,,0)</f>
        <v>Export &amp; Reporting</v>
      </c>
      <c r="B55" s="56">
        <v>0</v>
      </c>
      <c r="C55" s="258" t="s">
        <v>743</v>
      </c>
      <c r="D55" s="2" t="s">
        <v>20</v>
      </c>
      <c r="E55" s="43"/>
    </row>
    <row r="56" spans="1:5" ht="18.75" x14ac:dyDescent="0.25">
      <c r="A56" s="133" t="str">
        <f>_xlfn.XLOOKUP($C56,Tiers_list!$2:$2,Tiers_list!$1:$1,,0)</f>
        <v>Bulk Synchronisation ans Scheduling</v>
      </c>
      <c r="B56" s="56">
        <v>0</v>
      </c>
      <c r="C56" s="258" t="s">
        <v>744</v>
      </c>
      <c r="D56" s="2" t="s">
        <v>20</v>
      </c>
      <c r="E56" s="43"/>
    </row>
    <row r="57" spans="1:5" ht="18.75" x14ac:dyDescent="0.25">
      <c r="A57" s="133" t="str">
        <f>_xlfn.XLOOKUP($C57,Tiers_list!$2:$2,Tiers_list!$1:$1,,0)</f>
        <v>Clone &amp; Templates</v>
      </c>
      <c r="B57" s="56">
        <v>0</v>
      </c>
      <c r="C57" s="258" t="s">
        <v>745</v>
      </c>
      <c r="D57" s="2" t="s">
        <v>20</v>
      </c>
      <c r="E57" s="43"/>
    </row>
    <row r="58" spans="1:5" ht="18.75" x14ac:dyDescent="0.25">
      <c r="A58" s="133" t="str">
        <f>_xlfn.XLOOKUP($C58,Tiers_list!$2:$2,Tiers_list!$1:$1,,0)</f>
        <v>Merge Operations</v>
      </c>
      <c r="B58" s="56">
        <v>0</v>
      </c>
      <c r="C58" s="258" t="s">
        <v>746</v>
      </c>
      <c r="D58" s="2" t="s">
        <v>20</v>
      </c>
      <c r="E58" s="43"/>
    </row>
    <row r="59" spans="1:5" ht="18.75" x14ac:dyDescent="0.25">
      <c r="A59" s="133" t="str">
        <f>_xlfn.XLOOKUP($C59,Tiers_list!$2:$2,Tiers_list!$1:$1,,0)</f>
        <v>Advanced User Management</v>
      </c>
      <c r="B59" s="56">
        <v>0</v>
      </c>
      <c r="C59" s="258" t="s">
        <v>747</v>
      </c>
      <c r="D59" s="2" t="s">
        <v>20</v>
      </c>
      <c r="E59" s="43"/>
    </row>
    <row r="60" spans="1:5" ht="18.75" x14ac:dyDescent="0.25">
      <c r="A60" s="133" t="str">
        <f>_xlfn.XLOOKUP($C60,Tiers_list!$2:$2,Tiers_list!$1:$1,,0)</f>
        <v>Advanced Log Filtering</v>
      </c>
      <c r="B60" s="56">
        <v>0</v>
      </c>
      <c r="C60" s="258" t="s">
        <v>748</v>
      </c>
      <c r="D60" s="2" t="s">
        <v>20</v>
      </c>
      <c r="E60" s="43"/>
    </row>
    <row r="61" spans="1:5" ht="18.75" x14ac:dyDescent="0.25">
      <c r="A61" s="133" t="str">
        <f>_xlfn.XLOOKUP($C61,Tiers_list!$2:$2,Tiers_list!$1:$1,,0)</f>
        <v>Notification &amp; Alerts</v>
      </c>
      <c r="B61" s="56">
        <v>0</v>
      </c>
      <c r="C61" s="258" t="s">
        <v>749</v>
      </c>
      <c r="D61" s="2" t="s">
        <v>20</v>
      </c>
      <c r="E61" s="43"/>
    </row>
  </sheetData>
  <sheetProtection formatCells="0" formatColumns="0" formatRows="0" sort="0" pivotTables="0"/>
  <sortState xmlns:xlrd2="http://schemas.microsoft.com/office/spreadsheetml/2017/richdata2" ref="A33:E37">
    <sortCondition ref="C33:C37"/>
  </sortState>
  <mergeCells count="1">
    <mergeCell ref="B15:D15"/>
  </mergeCells>
  <conditionalFormatting sqref="B35">
    <cfRule type="duplicateValues" dxfId="35" priority="5"/>
  </conditionalFormatting>
  <conditionalFormatting sqref="C4">
    <cfRule type="duplicateValues" dxfId="34" priority="8"/>
  </conditionalFormatting>
  <conditionalFormatting sqref="C6:C52">
    <cfRule type="duplicateValues" dxfId="33" priority="54"/>
  </conditionalFormatting>
  <conditionalFormatting sqref="C62:C1048576 C1 C5 C3">
    <cfRule type="duplicateValues" dxfId="32" priority="9"/>
  </conditionalFormatting>
  <conditionalFormatting sqref="D20:D30 D33:D38 A40:D40 B41:B49 D41:D49 B51:B52 D51:D52">
    <cfRule type="expression" dxfId="31" priority="7">
      <formula>"FIND(""Total"",C:C)"</formula>
    </cfRule>
  </conditionalFormatting>
  <conditionalFormatting sqref="D53:D61">
    <cfRule type="expression" dxfId="3" priority="4">
      <formula>"FIND(""Total"",C:C)"</formula>
    </cfRule>
  </conditionalFormatting>
  <conditionalFormatting sqref="C53:C61">
    <cfRule type="duplicateValues" dxfId="2" priority="2"/>
  </conditionalFormatting>
  <conditionalFormatting sqref="C53:C61">
    <cfRule type="expression" dxfId="1" priority="3">
      <formula>"FIND(""Total"",C:C)"</formula>
    </cfRule>
  </conditionalFormatting>
  <conditionalFormatting sqref="B53:B61">
    <cfRule type="expression" dxfId="0" priority="1">
      <formula>"FIND(""Total"",C:C)"</formula>
    </cfRule>
  </conditionalFormatting>
  <dataValidations count="11">
    <dataValidation type="custom" allowBlank="1" showInputMessage="1" showErrorMessage="1" sqref="B7" xr:uid="{F1CDB364-97CD-458F-A1EF-DBF2074CC737}">
      <formula1>AND(B7&lt;=$D$5,B7&gt;=$C$5)</formula1>
    </dataValidation>
    <dataValidation allowBlank="1" showInputMessage="1" showErrorMessage="1" promptTitle="End-User Discount Rate" prompt="Rate is taken from End-User list.  If incorrect, make change in that tab." sqref="B14" xr:uid="{5C5FCDF7-621E-410D-A612-B850A5AE4E62}"/>
    <dataValidation allowBlank="1" showInputMessage="1" showErrorMessage="1" promptTitle="Integrator Discount %" prompt="Comes from Inegrator Tab. If incorrect change percentage on Integrator list tab" sqref="B16" xr:uid="{0E67AF92-77BE-4A35-9F6E-DEE5A5C99F88}"/>
    <dataValidation type="whole" allowBlank="1" showInputMessage="1" showErrorMessage="1" error="The number of Controllers need do be less than 11" promptTitle="Qty of Production Instances" prompt="Enter the number of instances.  Pricing for Tier 1 is per instance" sqref="B3" xr:uid="{020B70AB-FE12-4EB7-A196-325DE6FDAC67}">
      <formula1>11</formula1>
      <formula2>9999</formula2>
    </dataValidation>
    <dataValidation allowBlank="1" showInputMessage="1" showErrorMessage="1" promptTitle="Qty of Production Instances" prompt="Enter the number of instances." sqref="B6" xr:uid="{BB2D0017-AE30-4194-920E-D569000438B2}"/>
    <dataValidation allowBlank="1" showInputMessage="1" showErrorMessage="1" promptTitle="Qty of Primary Fail-Over" prompt="Enter number of instances." sqref="B8" xr:uid="{E688730D-C173-4238-98B2-6ABC4879F0C9}"/>
    <dataValidation type="whole" allowBlank="1" showInputMessage="1" showErrorMessage="1" sqref="B28" xr:uid="{5796C7B0-FCC3-4273-BE3F-373BD3C70AB8}">
      <formula1>0</formula1>
      <formula2>1</formula2>
    </dataValidation>
    <dataValidation type="whole" allowBlank="1" showInputMessage="1" showErrorMessage="1" sqref="B20:B25 B27 B29" xr:uid="{25A1AE98-F343-465F-A442-2F2E9F58910E}">
      <formula1>0</formula1>
      <formula2>99</formula2>
    </dataValidation>
    <dataValidation type="whole" allowBlank="1" showInputMessage="1" showErrorMessage="1" prompt="This number matches  the number of controllers" sqref="B26" xr:uid="{9704632D-6319-4604-985E-73F4DD2E1E38}">
      <formula1>0</formula1>
      <formula2>1</formula2>
    </dataValidation>
    <dataValidation type="whole" allowBlank="1" showInputMessage="1" showErrorMessage="1" prompt="Enter Number of ACS Tech Software first. Number of Dongles supposted to mach qty of software" sqref="B30" xr:uid="{4A825181-4BCE-48DD-847E-4EA0CD6F20AA}">
      <formula1>0</formula1>
      <formula2>1</formula2>
    </dataValidation>
    <dataValidation allowBlank="1" showInputMessage="1" showErrorMessage="1" prompt="QTY of dongles will determine number of tech software license" sqref="B34" xr:uid="{E0DC04BD-C9AE-4433-B025-2AF6EBC8CD3A}"/>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grator Name" prompt="Parabit by Default.  Any other, choose from the list or add on Integrator list if not found." xr:uid="{17422F96-78DE-48F2-B113-555BF8F146E0}">
          <x14:formula1>
            <xm:f>'Integrator List'!$A:$A</xm:f>
          </x14:formula1>
          <xm:sqref>B15:D15</xm:sqref>
        </x14:dataValidation>
        <x14:dataValidation type="list" allowBlank="1" showInputMessage="1" showErrorMessage="1" promptTitle="End User Name" prompt="Select Name From the List. Add Name on end-user list if not found" xr:uid="{E9710A3B-6DEE-439D-9FC3-77B9B4C671DC}">
          <x14:formula1>
            <xm:f>End_user!$A:$A</xm:f>
          </x14:formula1>
          <xm:sqref>B2</xm:sqref>
        </x14:dataValidation>
        <x14:dataValidation type="list" allowBlank="1" showInputMessage="1" showErrorMessage="1" promptTitle="Service Tier" prompt="Select Tier Level from the List. Only Tier 2 to 12.  Use specific form for Tier 1" xr:uid="{8A00F8E4-9CB5-44AC-AC9A-73872E418879}">
          <x14:formula1>
            <xm:f>Tiers_list!$A2:$A23</xm:f>
          </x14:formula1>
          <xm:sqref>B5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638E3-5BB1-4380-B3D3-9E4DDEBA45A0}">
  <sheetPr codeName="Sheet5">
    <pageSetUpPr fitToPage="1"/>
  </sheetPr>
  <dimension ref="A1:Q95"/>
  <sheetViews>
    <sheetView zoomScale="130" zoomScaleNormal="130" zoomScaleSheetLayoutView="100" workbookViewId="0">
      <pane xSplit="2" ySplit="1" topLeftCell="F54" activePane="bottomRight" state="frozen"/>
      <selection pane="topRight" activeCell="C1" sqref="C1"/>
      <selection pane="bottomLeft" activeCell="A2" sqref="A2"/>
      <selection pane="bottomRight" activeCell="I55" sqref="I55"/>
    </sheetView>
  </sheetViews>
  <sheetFormatPr defaultColWidth="8.7109375" defaultRowHeight="11.25" outlineLevelRow="2" x14ac:dyDescent="0.25"/>
  <cols>
    <col min="1" max="1" width="13.42578125" style="8" customWidth="1"/>
    <col min="2" max="2" width="12.5703125" style="7" customWidth="1"/>
    <col min="3" max="3" width="21.5703125" style="7" customWidth="1"/>
    <col min="4" max="4" width="25.85546875" style="7" customWidth="1"/>
    <col min="5" max="6" width="49.85546875" style="7" customWidth="1"/>
    <col min="7" max="7" width="9" style="7" customWidth="1"/>
    <col min="8" max="8" width="4.140625" style="8" customWidth="1"/>
    <col min="9" max="9" width="8.42578125" style="31" bestFit="1" customWidth="1"/>
    <col min="10" max="11" width="13.42578125" style="8" customWidth="1"/>
    <col min="12" max="12" width="8.7109375" style="8" customWidth="1"/>
    <col min="13" max="14" width="10.28515625" style="31" customWidth="1"/>
    <col min="15" max="15" width="9" style="31" customWidth="1"/>
    <col min="16" max="16" width="11.85546875" style="1" customWidth="1"/>
    <col min="17" max="17" width="15.42578125" style="1" customWidth="1"/>
    <col min="18" max="16384" width="8.7109375" style="1"/>
  </cols>
  <sheetData>
    <row r="1" spans="1:16" s="83" customFormat="1" ht="90" x14ac:dyDescent="0.25">
      <c r="A1" s="80" t="s">
        <v>14</v>
      </c>
      <c r="B1" s="80" t="s">
        <v>33</v>
      </c>
      <c r="C1" s="80" t="s">
        <v>147</v>
      </c>
      <c r="D1" s="80" t="s">
        <v>29</v>
      </c>
      <c r="E1" s="80" t="str">
        <f>+'Detail_Proposal_tier 1'!E1</f>
        <v>Feature Description</v>
      </c>
      <c r="F1" s="80" t="str">
        <f>+'Detail_Proposal_tier 1'!F1</f>
        <v>Business Description</v>
      </c>
      <c r="G1" s="80" t="s">
        <v>160</v>
      </c>
      <c r="H1" s="81" t="s">
        <v>19</v>
      </c>
      <c r="I1" s="80" t="str">
        <f>CONCATENATE('Proposal Form Tier 2-12'!B5," ","Quantity of Primary Production Instance(s)")</f>
        <v>Tier 11 - 2001 - 3000 Quantity of Primary Production Instance(s)</v>
      </c>
      <c r="J1" s="80" t="str">
        <f>CONCATENATE('Proposal Form Tier 2-12'!B5," ","Total Annual Primary Instance(s) Pricing")</f>
        <v>Tier 11 - 2001 - 3000 Total Annual Primary Instance(s) Pricing</v>
      </c>
      <c r="K1" s="80" t="str">
        <f>CONCATENATE('Proposal Form Tier 2-12'!B5," ","Total Annual Fail-Over/DR Instance(s) Pricing")</f>
        <v>Tier 11 - 2001 - 3000 Total Annual Fail-Over/DR Instance(s) Pricing</v>
      </c>
      <c r="L1" s="80" t="str">
        <f>CONCATENATE('Proposal Form Tier 2-12'!B5," ","Total Quantity of Annual Fail-Over/DR Instance(s)")</f>
        <v>Tier 11 - 2001 - 3000 Total Quantity of Annual Fail-Over/DR Instance(s)</v>
      </c>
      <c r="M1" s="82" t="s">
        <v>148</v>
      </c>
      <c r="N1" s="82" t="s">
        <v>149</v>
      </c>
      <c r="O1" s="82" t="s">
        <v>150</v>
      </c>
      <c r="P1" s="80" t="s">
        <v>623</v>
      </c>
    </row>
    <row r="2" spans="1:16" ht="200.25" customHeight="1" outlineLevel="2" x14ac:dyDescent="0.25">
      <c r="A2" s="2" t="s">
        <v>5</v>
      </c>
      <c r="B2" s="10" t="s">
        <v>80</v>
      </c>
      <c r="C2" s="40" t="s">
        <v>114</v>
      </c>
      <c r="D2" s="13" t="s">
        <v>85</v>
      </c>
      <c r="E2" s="10" t="str">
        <f>+'Detail_Proposal_tier 1'!E2</f>
        <v>By Site by ACS Controller
Customer defined ID, Digital Serial #, Customer defined asset tag, Entrance location data (Address, Cross Streets, Contact, Phone, Email, etc., Time Zone/DST, I/O configuration, Overlay/RFID Skim Detection times, IP/Port, DNS, DHCP.
By Reader/Entrance:
Reader Serial #, PID, Weekly and Holiday schedule(s) assignment, Digital API Data Integration(s) settings, Entrance Door Release duration, Door Ajar detect time, Door opening excessively to Credentials read ratio, Customer Can't Enter/Exit sequential configuration, Reader Egress time, Exit/Entry Switch Egress time, Anti-Tailgating Active/Disabled, Physical Overlay/RFID Skimmer Detect Time, Reader and Lock state Inhibit Active/Disabled integration, Loitering, Single Access, Light Sensor, Last ATM Transaction Date/Time and 3rd party system configurations.</v>
      </c>
      <c r="F2" s="10" t="str">
        <f>+'Detail_Proposal_tier 1'!F2</f>
        <v>ACS Cloud Enterprise gives operators and administrators a single, unified interface to configure every layer of their access control environment — from site addresses, time zones, and network settings down to individual reader behaviors, credential masks, and third-party integration parameters. Rather than juggling separate tools or on-site visits, teams can define and push the complete hardware profile of every controller and entrance from the cloud, ensuring every site is consistently configured, operationally ready, and aligned with organizational standards from day one.</v>
      </c>
      <c r="G2" s="10" t="s">
        <v>161</v>
      </c>
      <c r="H2" s="2" t="s">
        <v>20</v>
      </c>
      <c r="I2" s="60">
        <f>IF('Proposal Form Tier 2-12'!$B$5=Tiers_list!$A$3,+'Proposal Form Tier 2-12'!B6,1)</f>
        <v>1</v>
      </c>
      <c r="J2" s="3">
        <f>IF('Proposal Form Tier 2-12'!$B$5&lt;&gt;"Tier  - 1 - 10",VLOOKUP('Proposal Form Tier 2-12'!$B$5,Tiers_list!$A:$BC,MATCH($A2,Tiers_list!$2:$2,0),FALSE)*$I2,VLOOKUP('Proposal Form Tier 2-12'!$B$5,Tiers_list!$A:$BC,MATCH($A2,Tiers_list!$2:$2,0),FALSE)*$I2/10)*(1-'Proposal Form Tier 2-12'!$B$16-'Proposal Form Tier 2-12'!$B$14)</f>
        <v>8550</v>
      </c>
      <c r="K2" s="3">
        <f>IF('Proposal Form Tier 2-12'!$B$5&lt;&gt;"Tier  - 1 - 10",VLOOKUP('Proposal Form Tier 2-12'!$B$5,Tiers_list!$A:$BC,MATCH($A2,Tiers_list!$2:$2,0),FALSE)*L2*'Proposal Form Tier 2-12'!B$12,VLOOKUP('Proposal Form Tier 2-12'!$B$5,Tiers_list!$A:$BC,MATCH($A2,Tiers_list!$2:$2,0),FALSE)*'Proposal Form Tier 2-12'!B$12*L2/10)*(1-'Proposal Form Tier 2-12'!B14-'Proposal Form Tier 2-12'!B16)</f>
        <v>4275</v>
      </c>
      <c r="L2" s="11">
        <f>SUM(M2:O2)</f>
        <v>1</v>
      </c>
      <c r="M2" s="60">
        <f>IF($I2&gt;0,'Proposal Form Tier 2-12'!$B$8,0)</f>
        <v>1</v>
      </c>
      <c r="N2" s="60">
        <f>IF($I2&gt;0,'Proposal Form Tier 2-12'!$B$9,0)</f>
        <v>0</v>
      </c>
      <c r="O2" s="60">
        <f>IF($I2&gt;0,'Proposal Form Tier 2-12'!$B$10,0)</f>
        <v>0</v>
      </c>
      <c r="P2" s="3">
        <f>+(J2/(1-'Proposal Form Tier 2-12'!$B$16-'Proposal Form Tier 2-12'!$B$14))+(K2/(1-'Proposal Form Tier 2-12'!$B$16-'Proposal Form Tier 2-12'!$B$14))</f>
        <v>17100</v>
      </c>
    </row>
    <row r="3" spans="1:16" ht="200.25" customHeight="1" outlineLevel="2" x14ac:dyDescent="0.25">
      <c r="A3" s="2"/>
      <c r="B3" s="10" t="s">
        <v>80</v>
      </c>
      <c r="C3" s="40" t="s">
        <v>114</v>
      </c>
      <c r="D3" s="13" t="s">
        <v>85</v>
      </c>
      <c r="E3" s="10" t="str">
        <f>+'Detail_Proposal_tier 1'!E3</f>
        <v>Create/edit/update/deactivate ACS Users and ACS Users who assign access rights to ACS features</v>
      </c>
      <c r="F3" s="10" t="str">
        <f>+'Detail_Proposal_tier 1'!F3</f>
        <v>Administrators gain full lifecycle control over every system user — creating, editing, and deactivating accounts while assigning precise role-based access rights that determine exactly which ACS features and data each person can reach. By tying permissions directly to user profiles rather than managing them ad hoc, organizations eliminate over-privileged accounts, enforce the principle of least privilege, and maintain a clean, auditable record of who has access to what across the entire platform.</v>
      </c>
      <c r="G3" s="10"/>
      <c r="H3" s="2"/>
      <c r="I3" s="99"/>
      <c r="J3" s="51"/>
      <c r="K3" s="51"/>
      <c r="L3" s="11"/>
      <c r="M3" s="99"/>
      <c r="N3" s="99"/>
      <c r="O3" s="99"/>
      <c r="P3" s="3"/>
    </row>
    <row r="4" spans="1:16" ht="180" outlineLevel="2" x14ac:dyDescent="0.25">
      <c r="A4" s="2"/>
      <c r="B4" s="10" t="s">
        <v>80</v>
      </c>
      <c r="C4" s="40" t="s">
        <v>114</v>
      </c>
      <c r="D4" s="13" t="s">
        <v>85</v>
      </c>
      <c r="E4" s="10" t="str">
        <f>+'Detail_Proposal_tier 1'!E4</f>
        <v>Active Directory (AD) support</v>
      </c>
      <c r="F4" s="10" t="str">
        <f>+'Detail_Proposal_tier 1'!F4</f>
        <v>For organizations already running Microsoft Active Directory, ACS Cloud Enterprise eliminates the need for a separate set of user credentials by enabling staff to log in using their existing AD accounts. Operators can search, assign, and manage AD users and groups directly within ACS — with access permissions updating automatically in real time whenever an AD account is modified or disabled — reducing administrative burden and closing the security gaps that come from manually maintained duplicate user lists.</v>
      </c>
      <c r="G4" s="10"/>
      <c r="H4" s="2"/>
      <c r="I4" s="99"/>
      <c r="J4" s="51"/>
      <c r="K4" s="51"/>
      <c r="L4" s="11"/>
      <c r="M4" s="99"/>
      <c r="N4" s="99"/>
      <c r="O4" s="99"/>
      <c r="P4" s="3"/>
    </row>
    <row r="5" spans="1:16" ht="180" outlineLevel="2" x14ac:dyDescent="0.25">
      <c r="A5" s="2"/>
      <c r="B5" s="10" t="s">
        <v>80</v>
      </c>
      <c r="C5" s="40" t="s">
        <v>114</v>
      </c>
      <c r="D5" s="13" t="s">
        <v>85</v>
      </c>
      <c r="E5" s="10" t="str">
        <f>+'Detail_Proposal_tier 1'!E5</f>
        <v>Configure reader type, access by Credential holder and by Access Schedule for MMR 2.0 reader Mag Stripe and NFC Card.</v>
      </c>
      <c r="F5" s="10" t="str">
        <f>+'Detail_Proposal_tier 1'!F5</f>
        <v>Operators can configure every reader in the system — defining the credential types accepted (magnetic stripe, NFC, Bluetooth, biometric, and more), assigning the appropriate access schedules, and linking readers to specific user groups — all from a centralized interface without a site visit. This ensures that every entrance behaves exactly as intended, that the right people have access at the right times, and that configuration changes are applied instantly and consistently across all locations.</v>
      </c>
      <c r="G5" s="10"/>
      <c r="H5" s="2"/>
      <c r="I5" s="99"/>
      <c r="J5" s="51"/>
      <c r="K5" s="51"/>
      <c r="L5" s="11"/>
      <c r="M5" s="99"/>
      <c r="N5" s="99"/>
      <c r="O5" s="99"/>
      <c r="P5" s="3"/>
    </row>
    <row r="6" spans="1:16" ht="180" outlineLevel="2" x14ac:dyDescent="0.25">
      <c r="A6" s="2"/>
      <c r="B6" s="10" t="s">
        <v>80</v>
      </c>
      <c r="C6" s="40" t="s">
        <v>114</v>
      </c>
      <c r="D6" s="13" t="s">
        <v>85</v>
      </c>
      <c r="E6" s="10" t="str">
        <f>+'Detail_Proposal_tier 1'!E6</f>
        <v xml:space="preserve">Configure Readers and/or Users on type of credential(s) required to access an entrance or group of entrances.  i.e., a reader can require one, two or more types of credentials by Reader or User to gain access to a (or group of) specified Reader.  </v>
      </c>
      <c r="F6" s="10" t="str">
        <f>+'Detail_Proposal_tier 1'!F6</f>
        <v>Organizations can define precise credential matching rules for each reader or entrance — specifying exactly which credential types, card formats, and validation methods are required to gain access at any given point. Whether using standard match, bank credential fallback, external match validation, or protocol-based NFC matching, operators can tailor access logic per reader without firmware changes, giving security teams granular control over who gets through each door and under what conditions.</v>
      </c>
      <c r="G6" s="10"/>
      <c r="H6" s="2"/>
      <c r="I6" s="99"/>
      <c r="J6" s="51"/>
      <c r="K6" s="51"/>
      <c r="L6" s="11"/>
      <c r="M6" s="99"/>
      <c r="N6" s="99"/>
      <c r="O6" s="99"/>
      <c r="P6" s="3"/>
    </row>
    <row r="7" spans="1:16" ht="180" outlineLevel="2" x14ac:dyDescent="0.25">
      <c r="A7" s="2"/>
      <c r="B7" s="10" t="s">
        <v>80</v>
      </c>
      <c r="C7" s="40" t="s">
        <v>114</v>
      </c>
      <c r="D7" s="13" t="s">
        <v>85</v>
      </c>
      <c r="E7" s="10" t="str">
        <f>+'Detail_Proposal_tier 1'!E7</f>
        <v xml:space="preserve">Remote ACS controller I/O test and status inquiry </v>
      </c>
      <c r="F7" s="10" t="str">
        <f>+'Detail_Proposal_tier 1'!F7</f>
        <v>Field technicians and operators can remotely test and query the real-time status of any ACS controller's I/O channels without traveling to the site, enabling rapid diagnosis of hardware issues, connection faults, and configuration mismatches from the cloud. This reduces costly site visits, shortens mean time to resolution, and ensures that technical teams have full visibility into device health before deploying maintenance resources.</v>
      </c>
      <c r="G7" s="10"/>
      <c r="H7" s="2"/>
      <c r="I7" s="99"/>
      <c r="J7" s="51"/>
      <c r="K7" s="51"/>
      <c r="L7" s="11"/>
      <c r="M7" s="99"/>
      <c r="N7" s="99"/>
      <c r="O7" s="99"/>
      <c r="P7" s="3"/>
    </row>
    <row r="8" spans="1:16" ht="180" outlineLevel="2" x14ac:dyDescent="0.25">
      <c r="A8" s="2"/>
      <c r="B8" s="10" t="s">
        <v>80</v>
      </c>
      <c r="C8" s="40" t="s">
        <v>114</v>
      </c>
      <c r="D8" s="13" t="s">
        <v>85</v>
      </c>
      <c r="E8" s="10" t="str">
        <f>+'Detail_Proposal_tier 1'!E8</f>
        <v>Define and remotely configure Weekly Access Schedule (Credentials required), Open (entrance unlocked) and Locked (entrance closed)</v>
      </c>
      <c r="F8" s="10" t="str">
        <f>+'Detail_Proposal_tier 1'!F8</f>
        <v>Operators can define weekly access schedules — specifying which credential is required, when an entrance is open to all, or when it is locked — and push those schedules remotely to any controller or group of controllers across the organization. This eliminates manual on-site programming for routine schedule updates, ensures schedules are applied consistently across all sites, and gives security teams the flexibility to respond to operational changes without delay.</v>
      </c>
      <c r="G8" s="10"/>
      <c r="H8" s="2"/>
      <c r="I8" s="99"/>
      <c r="J8" s="51"/>
      <c r="K8" s="51"/>
      <c r="L8" s="11"/>
      <c r="M8" s="99"/>
      <c r="N8" s="99"/>
      <c r="O8" s="99"/>
      <c r="P8" s="3"/>
    </row>
    <row r="9" spans="1:16" ht="180" outlineLevel="2" x14ac:dyDescent="0.25">
      <c r="A9" s="2"/>
      <c r="B9" s="10" t="s">
        <v>80</v>
      </c>
      <c r="C9" s="40" t="s">
        <v>114</v>
      </c>
      <c r="D9" s="13" t="s">
        <v>85</v>
      </c>
      <c r="E9" s="10" t="str">
        <f>+'Detail_Proposal_tier 1'!E9</f>
        <v>Define Annual Holiday Access (Credential required), Open (entrance unlocked) and Locked (entrance closed) schedule. Notify selected ACS users when a future defined holiday date and schedule has not been defined within the ACS database or programmed into the ACS controller</v>
      </c>
      <c r="F9" s="10" t="str">
        <f>+'Detail_Proposal_tier 1'!F9</f>
        <v>Define Annual Holiday Access (Credential required), Open (entrance unlocked) and Locked (entrance closed) schedule. Notify selected ACS users when a future defined holiday date and schedule has not been defined within the ACS database or programmed into the ACS controller</v>
      </c>
      <c r="G9" s="10"/>
      <c r="H9" s="2"/>
      <c r="I9" s="99"/>
      <c r="J9" s="51"/>
      <c r="K9" s="51"/>
      <c r="L9" s="11"/>
      <c r="M9" s="99"/>
      <c r="N9" s="99"/>
      <c r="O9" s="99"/>
      <c r="P9" s="3"/>
    </row>
    <row r="10" spans="1:16" ht="180" outlineLevel="2" x14ac:dyDescent="0.25">
      <c r="A10" s="2"/>
      <c r="B10" s="10" t="s">
        <v>80</v>
      </c>
      <c r="C10" s="40" t="s">
        <v>114</v>
      </c>
      <c r="D10" s="13" t="s">
        <v>85</v>
      </c>
      <c r="E10" s="10" t="str">
        <f>+'Detail_Proposal_tier 1'!E10</f>
        <v>Manage and remotely configure credentials table/configuration accepted for NFC, Magnetic Stripe. Accepted Credentials, Admin Credentials, Financial Credential types and Exception tables and assign to reader(s)/entrance(s).</v>
      </c>
      <c r="F10" s="10" t="str">
        <f>+'Detail_Proposal_tier 1'!F10</f>
        <v>Operators can create, import, edit, merge, and export credential lists — covering accepted credentials, administrative cards, financial credential types, and exception (suspect/reject) tables — and assign them directly to individual readers or push them across multiple sites simultaneously. By centralizing credential list management in the cloud, organizations avoid the risks of outdated lists on individual controllers and ensure that access decisions are always based on the most current and accurate credential data available.</v>
      </c>
      <c r="G10" s="10"/>
      <c r="H10" s="2"/>
      <c r="I10" s="99"/>
      <c r="J10" s="51"/>
      <c r="K10" s="51"/>
      <c r="L10" s="11"/>
      <c r="M10" s="99"/>
      <c r="N10" s="99"/>
      <c r="O10" s="99"/>
      <c r="P10" s="3"/>
    </row>
    <row r="11" spans="1:16" ht="180" outlineLevel="2" x14ac:dyDescent="0.25">
      <c r="A11" s="2"/>
      <c r="B11" s="10" t="s">
        <v>80</v>
      </c>
      <c r="C11" s="40" t="s">
        <v>114</v>
      </c>
      <c r="D11" s="13" t="s">
        <v>85</v>
      </c>
      <c r="E11" s="10" t="str">
        <f>+'Detail_Proposal_tier 1'!E11</f>
        <v xml:space="preserve">Remotely set an ACS controllers Maintenance Mode (Active/Clear) </v>
      </c>
      <c r="F11" s="10" t="str">
        <f>+'Detail_Proposal_tier 1'!F11</f>
        <v>Operators and technicians can remotely activate and manage Maintenance Mode on any ACS controller, flagging all activity during that window so that alarms generated by maintenance work are clearly identified and not mistakenly escalated to monitoring centers. With configurable durations, automatic expiry, and real-time event tracking of who activated maintenance, when, and for how long, organizations maintain full operational accountability even during planned downtime.</v>
      </c>
      <c r="G11" s="10"/>
      <c r="H11" s="2"/>
      <c r="I11" s="99"/>
      <c r="J11" s="51"/>
      <c r="K11" s="51"/>
      <c r="L11" s="11"/>
      <c r="M11" s="99"/>
      <c r="N11" s="99"/>
      <c r="O11" s="99"/>
      <c r="P11" s="3"/>
    </row>
    <row r="12" spans="1:16" ht="180" outlineLevel="2" x14ac:dyDescent="0.25">
      <c r="A12" s="2"/>
      <c r="B12" s="10" t="s">
        <v>80</v>
      </c>
      <c r="C12" s="40" t="s">
        <v>114</v>
      </c>
      <c r="D12" s="13" t="s">
        <v>85</v>
      </c>
      <c r="E12" s="10" t="str">
        <f>+'Detail_Proposal_tier 1'!E12</f>
        <v>Remote Door/Entrance Unlock for x - xx seconds</v>
      </c>
      <c r="F12" s="10" t="str">
        <f>+'Detail_Proposal_tier 1'!F12</f>
        <v>Administrators and operators can instantly unlock any entrance remotely for a defined duration — whether responding to an emergency, assisting a visitor, or supporting a maintenance request — without sending a technician to the site. The action is logged in the audit trail, automatically reversed after the configured time, and fully visible in real-time event monitoring, giving teams both the speed to respond and the traceability to stay compliant.</v>
      </c>
      <c r="G12" s="10"/>
      <c r="H12" s="2"/>
      <c r="I12" s="99"/>
      <c r="J12" s="51"/>
      <c r="K12" s="51"/>
      <c r="L12" s="11"/>
      <c r="M12" s="99"/>
      <c r="N12" s="99"/>
      <c r="O12" s="99"/>
      <c r="P12" s="3"/>
    </row>
    <row r="13" spans="1:16" ht="180" outlineLevel="2" x14ac:dyDescent="0.25">
      <c r="A13" s="2"/>
      <c r="B13" s="10" t="s">
        <v>80</v>
      </c>
      <c r="C13" s="40" t="s">
        <v>114</v>
      </c>
      <c r="D13" s="13" t="s">
        <v>85</v>
      </c>
      <c r="E13" s="10" t="str">
        <f>+'Detail_Proposal_tier 1'!E13</f>
        <v>Remote Door/Entrance Access Schedule State Override with an until date/time (Access, Lock or Open).</v>
      </c>
      <c r="F13" s="10" t="str">
        <f>+'Detail_Proposal_tier 1'!F13</f>
        <v>When circumstances require a door to behave differently from its standard schedule — planned maintenance, emergency access, special events, or adverse weather — operators can remotely override the entrance state (open, access, or locked) for a defined date and time window without modifying the underlying schedule. The override clears automatically when the window expires, the original schedule resumes immediately, and the entire action is logged, ensuring operational flexibility never comes at the cost of security accountability.</v>
      </c>
      <c r="G13" s="10"/>
      <c r="H13" s="2"/>
      <c r="I13" s="99"/>
      <c r="J13" s="51"/>
      <c r="K13" s="51"/>
      <c r="L13" s="11"/>
      <c r="M13" s="99"/>
      <c r="N13" s="99"/>
      <c r="O13" s="99"/>
      <c r="P13" s="3"/>
    </row>
    <row r="14" spans="1:16" ht="180" outlineLevel="2" x14ac:dyDescent="0.25">
      <c r="A14" s="2"/>
      <c r="B14" s="10" t="s">
        <v>80</v>
      </c>
      <c r="C14" s="40" t="s">
        <v>114</v>
      </c>
      <c r="D14" s="13" t="s">
        <v>85</v>
      </c>
      <c r="E14" s="10" t="str">
        <f>+'Detail_Proposal_tier 1'!E14</f>
        <v>Manage User Access Credential(s) data: Import/Export .csv files
•	Credential Type: Bio Datapoint file1, Bio Datapoint file2, Bio Datapoint file…, Keypad Code, Mobile Device EIN/MAC???, etc.
•	Prox/NFC Card or Bluetooth: Facility Code / BIN number or ID / PAN number
•	5 fields for 1st, middle, last, etc. names 
•	ID used to validate Credential Holder
•	Driver’s License, Passport, Social Security #, Employee ID #, User Defined Credential 1, User Defined Credential 2…
•	Address1: #, Street,  City, County, Town, Village, Prefecture, State, Zip/Postal Code, Country,  
•	Address2: #, Street,  City, County, Town, Village, Prefecture, State, Zip/Postal Code, Country,  
•	Phone1, Phone2, etc. 
•	Email1, Email2, etc.  
•	Manager1, Phone1, Email1
•	Manager2, Phone1, Email1
•	(Investigate other credential types / fields required per credential and type):</v>
      </c>
      <c r="F14" s="10" t="str">
        <f>+'Detail_Proposal_tier 1'!F14</f>
        <v>Operators can manage the full credential data profile for each user — importing and exporting credential records via CSV, defining credential types accepted per user, and linking physical or virtual credentials to access rights — giving organizations a clean, importable, and auditable record of who holds which credential and what they can access. This streamlines onboarding, offboarding, and credential audits while reducing the manual effort and error risk of maintaining credential records outside the system.</v>
      </c>
      <c r="G14" s="10"/>
      <c r="H14" s="2"/>
      <c r="I14" s="99"/>
      <c r="J14" s="51"/>
      <c r="K14" s="51"/>
      <c r="L14" s="11"/>
      <c r="M14" s="99"/>
      <c r="N14" s="99"/>
      <c r="O14" s="99"/>
      <c r="P14" s="3"/>
    </row>
    <row r="15" spans="1:16" ht="180" outlineLevel="2" x14ac:dyDescent="0.25">
      <c r="A15" s="2"/>
      <c r="B15" s="10" t="s">
        <v>80</v>
      </c>
      <c r="C15" s="40" t="s">
        <v>114</v>
      </c>
      <c r="D15" s="13" t="s">
        <v>85</v>
      </c>
      <c r="E15" s="10" t="str">
        <f>+'Detail_Proposal_tier 1'!E15</f>
        <v>View, export and reports sites, hardware, configuration, events, credentials read, user functions executed, user/hardware configuration change logs and ACS controller and reader inventory</v>
      </c>
      <c r="F15" s="10" t="str">
        <f>+'Detail_Proposal_tier 1'!F15</f>
        <v>Administrators, operators, and auditors can view, filter, search a comprehensive set of reports spanning site activity, hardware status, configuration changes, credential events, and user actions — all from a single interface. Whether preparing for a compliance audit, investigating a security incident, or reviewing operational performance, teams can generate the exact data they need in seconds.</v>
      </c>
      <c r="G15" s="10"/>
      <c r="H15" s="2"/>
      <c r="I15" s="99"/>
      <c r="J15" s="51"/>
      <c r="K15" s="51"/>
      <c r="L15" s="11"/>
      <c r="M15" s="99"/>
      <c r="N15" s="99"/>
      <c r="O15" s="99"/>
      <c r="P15" s="3"/>
    </row>
    <row r="16" spans="1:16" ht="180" outlineLevel="2" x14ac:dyDescent="0.25">
      <c r="A16" s="5" t="s">
        <v>6</v>
      </c>
      <c r="B16" s="10" t="s">
        <v>80</v>
      </c>
      <c r="C16" s="40" t="s">
        <v>114</v>
      </c>
      <c r="D16" s="10" t="s">
        <v>86</v>
      </c>
      <c r="E16" s="10" t="str">
        <f>+'Detail_Proposal_tier 1'!E16</f>
        <v>Configure an ACS controller reader to learn/enroll a credential.  The learn/enroll feature is configured by one or more designated User approval(s).</v>
      </c>
      <c r="F16" s="10" t="str">
        <f>+'Detail_Proposal_tier 1'!F16</f>
        <v>ACS Cloud Enterprise enables any configured reader to enter a learn or enrollment mode, automatically capturing and storing a new credential when it is presented — eliminating the need to manually enter card numbers during onboarding. This accelerates the setup of new cardholders at large-scale deployments, reduces data entry errors, and gives operators a fast, reliable way to add credentials to the system directly from the physical reader.</v>
      </c>
      <c r="G16" s="10" t="s">
        <v>162</v>
      </c>
      <c r="H16" s="2" t="s">
        <v>20</v>
      </c>
      <c r="I16" s="52">
        <f>_xlfn.XLOOKUP($A16,'Proposal Form Tier 2-12'!$C:$C,'Proposal Form Tier 2-12'!$B:$B,0,0)</f>
        <v>0</v>
      </c>
      <c r="J16" s="3">
        <f>IF('Proposal Form Tier 2-12'!$B$5&lt;&gt;"Tier  - 1 - 10",VLOOKUP('Proposal Form Tier 2-12'!$B$5,Tiers_list!$A:$BC,MATCH($A16,Tiers_list!$2:$2,0),FALSE)*I16,VLOOKUP('Proposal Form Tier 2-12'!$B$5,Tiers_list!$A:$BC,MATCH($A16,Tiers_list!$2:$2,0),FALSE)*I16/10)*(1-'Proposal Form Tier 2-12'!$B$16-'Proposal Form Tier 2-12'!$B$14)</f>
        <v>0</v>
      </c>
      <c r="K16" s="3">
        <f>IF('Proposal Form Tier 2-12'!$B$5&lt;&gt;"Tier  - 1 - 10",VLOOKUP('Proposal Form Tier 2-12'!$B$5,Tiers_list!$A:$BC,MATCH($A16,Tiers_list!$2:$2,0),FALSE)*L16*'Proposal Form Tier 2-12'!B$12,VLOOKUP('Proposal Form Tier 2-12'!$B$5,Tiers_list!$A:$BC,MATCH($A16,Tiers_list!$2:$2,0),FALSE)*'Proposal Form Tier 2-12'!B$12*L16/10)*(1-'Proposal Form Tier 2-12'!$B$16-'Proposal Form Tier 2-12'!$B$14)</f>
        <v>0</v>
      </c>
      <c r="L16" s="11">
        <f t="shared" ref="L16:L18" si="0">SUM(M16:O16)</f>
        <v>0</v>
      </c>
      <c r="M16" s="52">
        <f>IF($I16&gt;0,'Proposal Form Tier 2-12'!$B$8,0)</f>
        <v>0</v>
      </c>
      <c r="N16" s="52">
        <f>IF($I16&gt;0,'Proposal Form Tier 2-12'!$B$9,0)</f>
        <v>0</v>
      </c>
      <c r="O16" s="52">
        <f>IF($I16&gt;0,'Proposal Form Tier 2-12'!$B$10,0)</f>
        <v>0</v>
      </c>
      <c r="P16" s="3">
        <f>+(J16/(1-'Proposal Form Tier 2-12'!$B$16-'Proposal Form Tier 2-12'!$B$14))+(K16/(1-'Proposal Form Tier 2-12'!$B$16-'Proposal Form Tier 2-12'!$B$14))</f>
        <v>0</v>
      </c>
    </row>
    <row r="17" spans="1:16" ht="180" outlineLevel="2" x14ac:dyDescent="0.25">
      <c r="A17" s="2" t="s">
        <v>63</v>
      </c>
      <c r="B17" s="10" t="s">
        <v>80</v>
      </c>
      <c r="C17" s="40" t="s">
        <v>114</v>
      </c>
      <c r="D17" s="10" t="s">
        <v>87</v>
      </c>
      <c r="E17" s="10" t="str">
        <f>+'Detail_Proposal_tier 1'!E17</f>
        <v xml:space="preserve">Create/Edit/Deactivate ACS Users and assign ACS User function/data access rights by ACS User/ACS User Profile type (Super Admin, Admin, Super Investigator, Investigator, Super Production user, Production user, etc.)  A user profile is a type of user(s) that has been defined  to perform specified functions within the ACS Enterprise software suite.  </v>
      </c>
      <c r="F17" s="10" t="str">
        <f>+'Detail_Proposal_tier 1'!F17</f>
        <v>Administrators can create, edit, and deactivate ACS user accounts and assign each user precise function and data access rights that determine which modules, sites, and operations they can perform within the platform. With role-based permissions, automated lockout on permission changes, and a full audit trail of every modification, organizations maintain tight control over who can administer the system and ensure that access rights always reflect current responsibilities.</v>
      </c>
      <c r="G17" s="10" t="s">
        <v>161</v>
      </c>
      <c r="H17" s="2" t="s">
        <v>20</v>
      </c>
      <c r="I17" s="60">
        <f>+'Proposal Form Tier 2-12'!$B$6</f>
        <v>1</v>
      </c>
      <c r="J17" s="3">
        <f>IF('Proposal Form Tier 2-12'!$B$5&lt;&gt;"Tier  - 1 - 10",VLOOKUP('Proposal Form Tier 2-12'!$B$5,Tiers_list!$A:$BC,MATCH($A17,Tiers_list!$2:$2,0),FALSE)*I17,VLOOKUP('Proposal Form Tier 2-12'!$B$5,Tiers_list!$A:$BC,MATCH($A17,Tiers_list!$2:$2,0),FALSE)*I17/10)*(1-'Proposal Form Tier 2-12'!$B$16-'Proposal Form Tier 2-12'!$B$14)</f>
        <v>534.375</v>
      </c>
      <c r="K17" s="3">
        <f>IF('Proposal Form Tier 2-12'!$B$5&lt;&gt;"Tier  - 1 - 10",VLOOKUP('Proposal Form Tier 2-12'!$B$5,Tiers_list!$A:$BC,MATCH($A17,Tiers_list!$2:$2,0),FALSE)*L17*'Proposal Form Tier 2-12'!B$12,VLOOKUP('Proposal Form Tier 2-12'!$B$5,Tiers_list!$A:$BC,MATCH($A17,Tiers_list!$2:$2,0),FALSE)*'Proposal Form Tier 2-12'!B$12*L17/10)*(1-'Proposal Form Tier 2-12'!$B$16-'Proposal Form Tier 2-12'!$B$14)</f>
        <v>267.1875</v>
      </c>
      <c r="L17" s="11">
        <f t="shared" si="0"/>
        <v>1</v>
      </c>
      <c r="M17" s="60">
        <f>IF($I17&gt;0,'Proposal Form Tier 2-12'!$B$8,0)</f>
        <v>1</v>
      </c>
      <c r="N17" s="60">
        <f>IF($I17&gt;0,'Proposal Form Tier 2-12'!$B$9,0)</f>
        <v>0</v>
      </c>
      <c r="O17" s="60">
        <f>IF($I17&gt;0,'Proposal Form Tier 2-12'!$B$10,0)</f>
        <v>0</v>
      </c>
      <c r="P17" s="3">
        <f>+(J17/(1-'Proposal Form Tier 2-12'!$B$16-'Proposal Form Tier 2-12'!$B$14))+(K17/(1-'Proposal Form Tier 2-12'!$B$16-'Proposal Form Tier 2-12'!$B$14))</f>
        <v>1068.75</v>
      </c>
    </row>
    <row r="18" spans="1:16" ht="45" outlineLevel="2" x14ac:dyDescent="0.25">
      <c r="A18" s="2" t="s">
        <v>7</v>
      </c>
      <c r="B18" s="10" t="s">
        <v>80</v>
      </c>
      <c r="C18" s="40" t="s">
        <v>114</v>
      </c>
      <c r="D18" s="10" t="s">
        <v>88</v>
      </c>
      <c r="E18" s="10" t="str">
        <f>+'Detail_Proposal_tier 1'!E18</f>
        <v>Manage Territory's by geographic region, state, time zone, defined controller properties and/or by User. Assign ACS controllers to a Territory(s) and assign Territory(s) to an ACS User(s) supporting assignment of ACS functions to be executed/managed.</v>
      </c>
      <c r="F18" s="10">
        <f>+'Detail_Proposal_tier 1'!F18</f>
        <v>0</v>
      </c>
      <c r="G18" s="10" t="s">
        <v>161</v>
      </c>
      <c r="H18" s="2" t="s">
        <v>20</v>
      </c>
      <c r="I18" s="60">
        <f>+'Proposal Form Tier 2-12'!$B$6</f>
        <v>1</v>
      </c>
      <c r="J18" s="3">
        <f>IF('Proposal Form Tier 2-12'!$B$5&lt;&gt;"Tier  - 1 - 10",VLOOKUP('Proposal Form Tier 2-12'!$B$5,Tiers_list!$A:$BC,MATCH($A18,Tiers_list!$2:$2,0),FALSE)*I18,VLOOKUP('Proposal Form Tier 2-12'!$B$5,Tiers_list!$A:$BC,MATCH($A18,Tiers_list!$2:$2,0),FALSE)*I18/10)*(1-'Proposal Form Tier 2-12'!$B$16-'Proposal Form Tier 2-12'!$B$14)</f>
        <v>534.375</v>
      </c>
      <c r="K18" s="3">
        <f>IF('Proposal Form Tier 2-12'!$B$5&lt;&gt;"Tier  - 1 - 10",VLOOKUP('Proposal Form Tier 2-12'!$B$5,Tiers_list!$A:$BC,MATCH($A18,Tiers_list!$2:$2,0),FALSE)*L18*'Proposal Form Tier 2-12'!B$12,VLOOKUP('Proposal Form Tier 2-12'!$B$5,Tiers_list!$A:$BC,MATCH($A18,Tiers_list!$2:$2,0),FALSE)*'Proposal Form Tier 2-12'!B$12*L18/10)*(1-'Proposal Form Tier 2-12'!$B$16-'Proposal Form Tier 2-12'!$B$14)</f>
        <v>267.1875</v>
      </c>
      <c r="L18" s="11">
        <f t="shared" si="0"/>
        <v>1</v>
      </c>
      <c r="M18" s="60">
        <f>IF($I18&gt;0,'Proposal Form Tier 2-12'!$B$8,0)</f>
        <v>1</v>
      </c>
      <c r="N18" s="60">
        <f>IF($I18&gt;0,'Proposal Form Tier 2-12'!$B$9,0)</f>
        <v>0</v>
      </c>
      <c r="O18" s="60">
        <f>IF($I18&gt;0,'Proposal Form Tier 2-12'!$B$10,0)</f>
        <v>0</v>
      </c>
      <c r="P18" s="3">
        <f>+(J18/(1-'Proposal Form Tier 2-12'!$B$16-'Proposal Form Tier 2-12'!$B$14))+(K18/(1-'Proposal Form Tier 2-12'!$B$16-'Proposal Form Tier 2-12'!$B$14))</f>
        <v>1068.75</v>
      </c>
    </row>
    <row r="19" spans="1:16" ht="22.5" outlineLevel="1" x14ac:dyDescent="0.25">
      <c r="A19" s="9"/>
      <c r="B19" s="124"/>
      <c r="C19" s="15" t="s">
        <v>152</v>
      </c>
      <c r="D19" s="124"/>
      <c r="E19" s="124"/>
      <c r="F19" s="124"/>
      <c r="G19" s="124"/>
      <c r="H19" s="9"/>
      <c r="I19" s="99">
        <f t="shared" ref="I19:P19" si="1">SUBTOTAL(9,I2:I18)</f>
        <v>3</v>
      </c>
      <c r="J19" s="126">
        <f t="shared" si="1"/>
        <v>9618.75</v>
      </c>
      <c r="K19" s="126">
        <f t="shared" si="1"/>
        <v>4809.375</v>
      </c>
      <c r="L19" s="127">
        <f t="shared" si="1"/>
        <v>3</v>
      </c>
      <c r="M19" s="125">
        <f t="shared" si="1"/>
        <v>3</v>
      </c>
      <c r="N19" s="125">
        <f t="shared" si="1"/>
        <v>0</v>
      </c>
      <c r="O19" s="125">
        <f t="shared" si="1"/>
        <v>0</v>
      </c>
      <c r="P19" s="126">
        <f t="shared" si="1"/>
        <v>19237.5</v>
      </c>
    </row>
    <row r="20" spans="1:16" s="25" customFormat="1" ht="101.25" outlineLevel="2" x14ac:dyDescent="0.25">
      <c r="A20" s="5" t="s">
        <v>8</v>
      </c>
      <c r="B20" s="10" t="s">
        <v>80</v>
      </c>
      <c r="C20" s="40" t="s">
        <v>115</v>
      </c>
      <c r="D20" s="10" t="s">
        <v>89</v>
      </c>
      <c r="E20" s="10" t="str">
        <f>+'Detail_Proposal_tier 1'!E20</f>
        <v>ACS controller and MMR 2.0 reader and ACS controller and ACS Enterprise software TLS Communication and Data Encryption External System scheduled or on-demand key/cert generation and management (One-Time and Annual Pricing TBD)</v>
      </c>
      <c r="F20" s="10" t="str">
        <f>+'Detail_Proposal_tier 1'!F20</f>
        <v xml:space="preserve">ACS Cloud Enterprise secures all communications between controllers, Readers and the cloud using mutual TLS  —  which is the strongest encryption. This ensures credential data, control commands, and event messages are protected against interception and replay attacks. Certificates are stored in cloud key vaults with policy-controlled access and automated rotation, and all authentication activity is logged, giving organizations the cryptographic foundation needed to meet demanding security and compliance requirements.
 </v>
      </c>
      <c r="G20" s="10" t="s">
        <v>161</v>
      </c>
      <c r="H20" s="2" t="s">
        <v>20</v>
      </c>
      <c r="I20" s="60">
        <f>+'Proposal Form Tier 2-12'!$B$6</f>
        <v>1</v>
      </c>
      <c r="J20" s="3">
        <f>IF('Proposal Form Tier 2-12'!$B$5&lt;&gt;"Tier  - 1 - 10",VLOOKUP('Proposal Form Tier 2-12'!$B$5,Tiers_list!$A:$BC,MATCH($A20,Tiers_list!$2:$2,0),FALSE)*I20,VLOOKUP('Proposal Form Tier 2-12'!$B$5,Tiers_list!$A:$BC,MATCH($A20,Tiers_list!$2:$2,0),FALSE)*I20/10)*(1-'Proposal Form Tier 2-12'!$B$16-'Proposal Form Tier 2-12'!$B$14)</f>
        <v>712.5</v>
      </c>
      <c r="K20" s="3">
        <f>IF('Proposal Form Tier 2-12'!$B$5&lt;&gt;"Tier  - 1 - 10",VLOOKUP('Proposal Form Tier 2-12'!$B$5,Tiers_list!$A:$BC,MATCH($A20,Tiers_list!$2:$2,0),FALSE)*L20*'Proposal Form Tier 2-12'!B$12,VLOOKUP('Proposal Form Tier 2-12'!$B$5,Tiers_list!$A:$BC,MATCH($A20,Tiers_list!$2:$2,0),FALSE)*'Proposal Form Tier 2-12'!B$12*L20/10)*(1-'Proposal Form Tier 2-12'!$B$16-'Proposal Form Tier 2-12'!$B$14)</f>
        <v>356.25</v>
      </c>
      <c r="L20" s="11">
        <f t="shared" ref="L20:L28" si="2">SUM(M20:O20)</f>
        <v>1</v>
      </c>
      <c r="M20" s="60">
        <f>IF($I20&gt;0,'Proposal Form Tier 2-12'!$B$8,0)</f>
        <v>1</v>
      </c>
      <c r="N20" s="60">
        <f>IF($I20&gt;0,'Proposal Form Tier 2-12'!$B$9,0)</f>
        <v>0</v>
      </c>
      <c r="O20" s="60">
        <f>IF($I20&gt;0,'Proposal Form Tier 2-12'!$B$10,0)</f>
        <v>0</v>
      </c>
      <c r="P20" s="3">
        <f>+(J20/(1-'Proposal Form Tier 2-12'!$B$16-'Proposal Form Tier 2-12'!$B$14))+(K20/(1-'Proposal Form Tier 2-12'!$B$16-'Proposal Form Tier 2-12'!$B$14))</f>
        <v>1425</v>
      </c>
    </row>
    <row r="21" spans="1:16" s="25" customFormat="1" ht="101.25" outlineLevel="2" x14ac:dyDescent="0.25">
      <c r="A21" s="2" t="s">
        <v>9</v>
      </c>
      <c r="B21" s="10" t="s">
        <v>80</v>
      </c>
      <c r="C21" s="40" t="s">
        <v>115</v>
      </c>
      <c r="D21" s="10" t="s">
        <v>90</v>
      </c>
      <c r="E21" s="10" t="str">
        <f>+'Detail_Proposal_tier 1'!E21</f>
        <v xml:space="preserve">Define, Parse and forward ACS Event Messages collected/received by ACS controllers  via a API / Windows / Micro Service to 3rd party alarm/event message monitoring systems in the following (ContactID, Extended Contact ID, others TBD) formats (MAStermind supported today, but develop interfaces to Genetec, MAStermind, Milestone, Avigilon and others.)  </v>
      </c>
      <c r="F21" s="10" t="str">
        <f>+'Detail_Proposal_tier 1'!F21</f>
        <v>ACS Cloud Enterprise collects, parses, and categorizes every event message generated by ACS controllers — including credential reads, door events, alarms, health checks, and system actions — and routes them to the appropriate destinations in real time. Operators can configure exactly which message types are forwarded to internal databases, external monitoring platforms, or third-party systems, with full control over message priority, credential data masking, and failover queuing to ensure no critical event is lost even when downstream systems are temporarily unavailable.</v>
      </c>
      <c r="G21" s="10" t="s">
        <v>162</v>
      </c>
      <c r="H21" s="2" t="s">
        <v>20</v>
      </c>
      <c r="I21" s="52">
        <f>_xlfn.XLOOKUP($A21,'Proposal Form Tier 2-12'!$C:$C,'Proposal Form Tier 2-12'!$B:$B,0,0)</f>
        <v>0</v>
      </c>
      <c r="J21" s="3">
        <f>IF('Proposal Form Tier 2-12'!$B$5&lt;&gt;"Tier  - 1 - 10",VLOOKUP('Proposal Form Tier 2-12'!$B$5,Tiers_list!$A:$BC,MATCH($A21,Tiers_list!$2:$2,0),FALSE)*I21,VLOOKUP('Proposal Form Tier 2-12'!$B$5,Tiers_list!$A:$BC,MATCH($A21,Tiers_list!$2:$2,0),FALSE)*I21/10)*(1-'Proposal Form Tier 2-12'!$B$16-'Proposal Form Tier 2-12'!$B$14)</f>
        <v>0</v>
      </c>
      <c r="K21" s="3">
        <f>IF('Proposal Form Tier 2-12'!$B$5&lt;&gt;"Tier  - 1 - 10",VLOOKUP('Proposal Form Tier 2-12'!$B$5,Tiers_list!$A:$BC,MATCH($A21,Tiers_list!$2:$2,0),FALSE)*L21*'Proposal Form Tier 2-12'!B$12,VLOOKUP('Proposal Form Tier 2-12'!$B$5,Tiers_list!$A:$BC,MATCH($A21,Tiers_list!$2:$2,0),FALSE)*'Proposal Form Tier 2-12'!B$12*L21/10)*(1-'Proposal Form Tier 2-12'!$B$16-'Proposal Form Tier 2-12'!$B$14)</f>
        <v>0</v>
      </c>
      <c r="L21" s="11">
        <f t="shared" si="2"/>
        <v>0</v>
      </c>
      <c r="M21" s="52">
        <f>IF($I21&gt;0,'Proposal Form Tier 2-12'!$B$8,0)</f>
        <v>0</v>
      </c>
      <c r="N21" s="52">
        <f>IF($I21&gt;0,'Proposal Form Tier 2-12'!$B$9,0)</f>
        <v>0</v>
      </c>
      <c r="O21" s="52">
        <f>IF($I21&gt;0,'Proposal Form Tier 2-12'!$B$10,0)</f>
        <v>0</v>
      </c>
      <c r="P21" s="3">
        <f>+(J21/(1-'Proposal Form Tier 2-12'!$B$16-'Proposal Form Tier 2-12'!$B$14))+(K21/(1-'Proposal Form Tier 2-12'!$B$16-'Proposal Form Tier 2-12'!$B$14))</f>
        <v>0</v>
      </c>
    </row>
    <row r="22" spans="1:16" s="25" customFormat="1" ht="101.25" outlineLevel="2" x14ac:dyDescent="0.25">
      <c r="A22" s="2" t="s">
        <v>64</v>
      </c>
      <c r="B22" s="10" t="s">
        <v>80</v>
      </c>
      <c r="C22" s="40" t="s">
        <v>115</v>
      </c>
      <c r="D22" s="10" t="s">
        <v>91</v>
      </c>
      <c r="E22" s="10" t="str">
        <f>+'Detail_Proposal_tier 1'!E22</f>
        <v>Transmission of ACS Event Messages to non-cloud 3rd party monitoring (MAStermind) applications (Windows Service). (Integration fees may apply)</v>
      </c>
      <c r="F22" s="10" t="str">
        <f>+'Detail_Proposal_tier 1'!F22</f>
        <v>Organizations using non-cloud monitoring platforms such as MAStermind or similar systems can seamlessly receive ACS event messages through a configurable, authenticated integration that supports multiple server endpoints with automatic failover. Operators define server groups, set message criticality levels, and control credential data exposure in payloads, ensuring that third-party monitoring teams receive exactly the right alerts in real time — without manual intervention and without compromising sensitive cardholder data.</v>
      </c>
      <c r="G22" s="10" t="s">
        <v>173</v>
      </c>
      <c r="H22" s="2" t="s">
        <v>20</v>
      </c>
      <c r="I22" s="53">
        <f>_xlfn.XLOOKUP($A22,'Proposal Form Tier 2-12'!$C:$C,'Proposal Form Tier 2-12'!$B:$B,0,0)</f>
        <v>1</v>
      </c>
      <c r="J22" s="3">
        <f>IF('Proposal Form Tier 2-12'!$B$5&lt;&gt;"Tier  - 1 - 10",VLOOKUP('Proposal Form Tier 2-12'!$B$5,Tiers_list!$A:$BC,MATCH($A22,Tiers_list!$2:$2,0),FALSE)*I22,VLOOKUP('Proposal Form Tier 2-12'!$B$5,Tiers_list!$A:$BC,MATCH($A22,Tiers_list!$2:$2,0),FALSE)*I22/10)*(1-'Proposal Form Tier 2-12'!$B$16-'Proposal Form Tier 2-12'!$B$14)</f>
        <v>712.5</v>
      </c>
      <c r="K22" s="3">
        <f>IF('Proposal Form Tier 2-12'!$B$5&lt;&gt;"Tier  - 1 - 10",VLOOKUP('Proposal Form Tier 2-12'!$B$5,Tiers_list!$A:$BC,MATCH($A22,Tiers_list!$2:$2,0),FALSE)*L22*'Proposal Form Tier 2-12'!B$12,VLOOKUP('Proposal Form Tier 2-12'!$B$5,Tiers_list!$A:$BC,MATCH($A22,Tiers_list!$2:$2,0),FALSE)*'Proposal Form Tier 2-12'!B$12*L22/10)*(1-'Proposal Form Tier 2-12'!$B$16-'Proposal Form Tier 2-12'!$B$14)</f>
        <v>356.25</v>
      </c>
      <c r="L22" s="11">
        <f t="shared" si="2"/>
        <v>1</v>
      </c>
      <c r="M22" s="53">
        <f>IF($I22&gt;0,'Proposal Form Tier 2-12'!$B$8,0)</f>
        <v>1</v>
      </c>
      <c r="N22" s="53">
        <f>IF($I22&gt;0,'Proposal Form Tier 2-12'!$B$9,0)</f>
        <v>0</v>
      </c>
      <c r="O22" s="53">
        <f>IF($I22&gt;0,'Proposal Form Tier 2-12'!$B$10,0)</f>
        <v>0</v>
      </c>
      <c r="P22" s="3">
        <f>+(J22/(1-'Proposal Form Tier 2-12'!$B$16-'Proposal Form Tier 2-12'!$B$14))+(K22/(1-'Proposal Form Tier 2-12'!$B$16-'Proposal Form Tier 2-12'!$B$14))</f>
        <v>1425</v>
      </c>
    </row>
    <row r="23" spans="1:16" s="25" customFormat="1" ht="90" outlineLevel="2" x14ac:dyDescent="0.25">
      <c r="A23" s="2" t="s">
        <v>10</v>
      </c>
      <c r="B23" s="10" t="s">
        <v>80</v>
      </c>
      <c r="C23" s="40" t="s">
        <v>115</v>
      </c>
      <c r="D23" s="10" t="s">
        <v>92</v>
      </c>
      <c r="E23" s="10" t="str">
        <f>+'Detail_Proposal_tier 1'!E23</f>
        <v>EMR sends an email or text to defined Email Address(s)/Mobile #(s) of ACS events selected</v>
      </c>
      <c r="F23" s="10" t="str">
        <f>+'Detail_Proposal_tier 1'!F23</f>
        <v>Security teams, facility managers, and operations staff can receive instant email or SMS notifications for any ACS event classified as critical — delivered directly to configured user groups without requiring access to the monitoring platform. Operators define notification recipient lists, assign message criticality categories, and configure which alarms trigger immediate outreach, ensuring that the right people are alerted at the right time regardless of whether they are actively monitoring the system dashboard.</v>
      </c>
      <c r="G23" s="10" t="s">
        <v>162</v>
      </c>
      <c r="H23" s="2" t="s">
        <v>20</v>
      </c>
      <c r="I23" s="52">
        <f>_xlfn.XLOOKUP($A23,'Proposal Form Tier 2-12'!$C:$C,'Proposal Form Tier 2-12'!$B:$B,0,0)</f>
        <v>0</v>
      </c>
      <c r="J23" s="3">
        <f>IF('Proposal Form Tier 2-12'!$B$5&lt;&gt;"Tier  - 1 - 10",VLOOKUP('Proposal Form Tier 2-12'!$B$5,Tiers_list!$A:$BC,MATCH($A23,Tiers_list!$2:$2,0),FALSE)*I23,VLOOKUP('Proposal Form Tier 2-12'!$B$5,Tiers_list!$A:$BC,MATCH($A23,Tiers_list!$2:$2,0),FALSE)*I23/10)*(1-'Proposal Form Tier 2-12'!$B$16-'Proposal Form Tier 2-12'!$B$14)</f>
        <v>0</v>
      </c>
      <c r="K23" s="3">
        <f>IF('Proposal Form Tier 2-12'!$B$5&lt;&gt;"Tier  - 1 - 10",VLOOKUP('Proposal Form Tier 2-12'!$B$5,Tiers_list!$A:$BC,MATCH($A23,Tiers_list!$2:$2,0),FALSE)*L23*'Proposal Form Tier 2-12'!B$12,VLOOKUP('Proposal Form Tier 2-12'!$B$5,Tiers_list!$A:$BC,MATCH($A23,Tiers_list!$2:$2,0),FALSE)*'Proposal Form Tier 2-12'!B$12*L23/10)*(1-'Proposal Form Tier 2-12'!$B$16-'Proposal Form Tier 2-12'!$B$14)</f>
        <v>0</v>
      </c>
      <c r="L23" s="11">
        <f t="shared" si="2"/>
        <v>0</v>
      </c>
      <c r="M23" s="52">
        <f>IF($I23&gt;0,'Proposal Form Tier 2-12'!$B$8,0)</f>
        <v>0</v>
      </c>
      <c r="N23" s="52">
        <f>IF($I23&gt;0,'Proposal Form Tier 2-12'!$B$9,0)</f>
        <v>0</v>
      </c>
      <c r="O23" s="52">
        <f>IF($I23&gt;0,'Proposal Form Tier 2-12'!$B$10,0)</f>
        <v>0</v>
      </c>
      <c r="P23" s="3">
        <f>+(J23/(1-'Proposal Form Tier 2-12'!$B$16-'Proposal Form Tier 2-12'!$B$14))+(K23/(1-'Proposal Form Tier 2-12'!$B$16-'Proposal Form Tier 2-12'!$B$14))</f>
        <v>0</v>
      </c>
    </row>
    <row r="24" spans="1:16" s="25" customFormat="1" ht="90" outlineLevel="2" x14ac:dyDescent="0.25">
      <c r="A24" s="2" t="s">
        <v>11</v>
      </c>
      <c r="B24" s="10" t="s">
        <v>80</v>
      </c>
      <c r="C24" s="40" t="s">
        <v>115</v>
      </c>
      <c r="D24" s="10" t="s">
        <v>93</v>
      </c>
      <c r="E24" s="10" t="str">
        <f>+'Detail_Proposal_tier 1'!E24</f>
        <v>Remote lookup of Accepted, Rejected and Suspect Credentials in ACS DB.</v>
      </c>
      <c r="F24" s="10" t="str">
        <f>+'Detail_Proposal_tier 1'!F24</f>
        <v>When a credential is presented at a reader configured for external match validation, ACS Cloud Enterprise forwards the request to the Parabit Cloud Enterprise in real time, retrieves the allow or reject decision, and acts on it immediately . This enables organizations to maintain centralized, organization-wide credential authority in an external system (such as a financial institution's BIN database) while still leveraging the speed and resilience of local controller enforcement.</v>
      </c>
      <c r="G24" s="10" t="s">
        <v>162</v>
      </c>
      <c r="H24" s="2" t="s">
        <v>20</v>
      </c>
      <c r="I24" s="52">
        <f>_xlfn.XLOOKUP($A24,'Proposal Form Tier 2-12'!$C:$C,'Proposal Form Tier 2-12'!$B:$B,0,0)</f>
        <v>0</v>
      </c>
      <c r="J24" s="3">
        <f>IF('Proposal Form Tier 2-12'!$B$5&lt;&gt;"Tier  - 1 - 10",VLOOKUP('Proposal Form Tier 2-12'!$B$5,Tiers_list!$A:$BC,MATCH($A24,Tiers_list!$2:$2,0),FALSE)*I24,VLOOKUP('Proposal Form Tier 2-12'!$B$5,Tiers_list!$A:$BC,MATCH($A24,Tiers_list!$2:$2,0),FALSE)*I24/10)*(1-'Proposal Form Tier 2-12'!$B$16-'Proposal Form Tier 2-12'!$B$14)</f>
        <v>0</v>
      </c>
      <c r="K24" s="3">
        <f>IF('Proposal Form Tier 2-12'!$B$5&lt;&gt;"Tier  - 1 - 10",VLOOKUP('Proposal Form Tier 2-12'!$B$5,Tiers_list!$A:$BC,MATCH($A24,Tiers_list!$2:$2,0),FALSE)*L24*'Proposal Form Tier 2-12'!B$12,VLOOKUP('Proposal Form Tier 2-12'!$B$5,Tiers_list!$A:$BC,MATCH($A24,Tiers_list!$2:$2,0),FALSE)*'Proposal Form Tier 2-12'!B$12*L24/10)*(1-'Proposal Form Tier 2-12'!$B$16-'Proposal Form Tier 2-12'!$B$14)</f>
        <v>0</v>
      </c>
      <c r="L24" s="11">
        <f t="shared" si="2"/>
        <v>0</v>
      </c>
      <c r="M24" s="52">
        <f>IF($I24&gt;0,'Proposal Form Tier 2-12'!$B$8,0)</f>
        <v>0</v>
      </c>
      <c r="N24" s="52">
        <f>IF($I24&gt;0,'Proposal Form Tier 2-12'!$B$9,0)</f>
        <v>0</v>
      </c>
      <c r="O24" s="52">
        <f>IF($I24&gt;0,'Proposal Form Tier 2-12'!$B$10,0)</f>
        <v>0</v>
      </c>
      <c r="P24" s="3">
        <f>+(J24/(1-'Proposal Form Tier 2-12'!$B$16-'Proposal Form Tier 2-12'!$B$14))+(K24/(1-'Proposal Form Tier 2-12'!$B$16-'Proposal Form Tier 2-12'!$B$14))</f>
        <v>0</v>
      </c>
    </row>
    <row r="25" spans="1:16" s="25" customFormat="1" ht="90" outlineLevel="2" x14ac:dyDescent="0.25">
      <c r="A25" s="5" t="s">
        <v>65</v>
      </c>
      <c r="B25" s="10" t="s">
        <v>80</v>
      </c>
      <c r="C25" s="40" t="s">
        <v>115</v>
      </c>
      <c r="D25" s="10" t="s">
        <v>94</v>
      </c>
      <c r="E25" s="10" t="str">
        <f>+'Detail_Proposal_tier 1'!E25</f>
        <v>Monthly download and distribution of the NYCE BIN Table to all ACS Cloud Enterprise Users.  Client ACS Cloud Enterprise software detects file update, authenticates and automatically downloads and optimizes the file, then schedules the initialization of the file into all designated ACS controllers.</v>
      </c>
      <c r="F25" s="10" t="str">
        <f>+'Detail_Proposal_tier 1'!F25</f>
        <v>ACS Cloud Enterprise automates the monthly download and distribution of the NYCE BIN table to all configured controllers across every enterprise site, ensuring that every reader has an up-to-date financial credential reference without requiring manual file transfers or on-site updates. This eliminates the operational risk of controllers running outdated BIN data, reduces the administrative overhead of managing credential table updates at scale, and ensures consistent access decisions across the entire estate.</v>
      </c>
      <c r="G25" s="10" t="s">
        <v>161</v>
      </c>
      <c r="H25" s="2" t="s">
        <v>20</v>
      </c>
      <c r="I25" s="60">
        <f>+'Proposal Form Tier 2-12'!$B$6</f>
        <v>1</v>
      </c>
      <c r="J25" s="3">
        <f>IF('Proposal Form Tier 2-12'!$B$5&lt;&gt;"Tier  - 1 - 10",VLOOKUP('Proposal Form Tier 2-12'!$B$5,Tiers_list!$A:$BC,MATCH($A25,Tiers_list!$2:$2,0),FALSE)*I25,VLOOKUP('Proposal Form Tier 2-12'!$B$5,Tiers_list!$A:$BC,MATCH($A25,Tiers_list!$2:$2,0),FALSE)*I25/10)*(1-'Proposal Form Tier 2-12'!$B$16-'Proposal Form Tier 2-12'!$B$14)</f>
        <v>534.375</v>
      </c>
      <c r="K25" s="3">
        <f>IF('Proposal Form Tier 2-12'!$B$5&lt;&gt;"Tier  - 1 - 10",VLOOKUP('Proposal Form Tier 2-12'!$B$5,Tiers_list!$A:$BC,MATCH($A25,Tiers_list!$2:$2,0),FALSE)*L25*'Proposal Form Tier 2-12'!B$12,VLOOKUP('Proposal Form Tier 2-12'!$B$5,Tiers_list!$A:$BC,MATCH($A25,Tiers_list!$2:$2,0),FALSE)*'Proposal Form Tier 2-12'!B$12*L25/10)*(1-'Proposal Form Tier 2-12'!$B$16-'Proposal Form Tier 2-12'!$B$14)</f>
        <v>267.1875</v>
      </c>
      <c r="L25" s="11">
        <f t="shared" si="2"/>
        <v>1</v>
      </c>
      <c r="M25" s="60">
        <f>IF($I25&gt;0,'Proposal Form Tier 2-12'!$B$8,0)</f>
        <v>1</v>
      </c>
      <c r="N25" s="60">
        <f>IF($I25&gt;0,'Proposal Form Tier 2-12'!$B$9,0)</f>
        <v>0</v>
      </c>
      <c r="O25" s="60">
        <f>IF($I25&gt;0,'Proposal Form Tier 2-12'!$B$10,0)</f>
        <v>0</v>
      </c>
      <c r="P25" s="3">
        <f>+(J25/(1-'Proposal Form Tier 2-12'!$B$16-'Proposal Form Tier 2-12'!$B$14))+(K25/(1-'Proposal Form Tier 2-12'!$B$16-'Proposal Form Tier 2-12'!$B$14))</f>
        <v>1068.75</v>
      </c>
    </row>
    <row r="26" spans="1:16" s="25" customFormat="1" ht="90" outlineLevel="2" x14ac:dyDescent="0.25">
      <c r="A26" s="5" t="s">
        <v>12</v>
      </c>
      <c r="B26" s="10" t="s">
        <v>80</v>
      </c>
      <c r="C26" s="40" t="s">
        <v>115</v>
      </c>
      <c r="D26" s="10" t="s">
        <v>95</v>
      </c>
      <c r="E26" s="10" t="str">
        <f>+'Detail_Proposal_tier 1'!E26</f>
        <v>Remote 6/8 Digit BIN Lookup, Site Lock down and Site Open commands</v>
      </c>
      <c r="F26" s="10" t="str">
        <f>+'Detail_Proposal_tier 1'!F26</f>
        <v>Operators can execute remote 6- or 8-digit BIN lookup queries against any controller and issue immediate site-wide lockdown or open commands from the cloud — giving security teams the ability to respond to threat events or operational emergencies in seconds without dispatching field personnel. All commands are authenticated, logged, and reversible, ensuring that emergency access control actions are both fast and fully accountable.</v>
      </c>
      <c r="G26" s="10" t="s">
        <v>161</v>
      </c>
      <c r="H26" s="2" t="s">
        <v>20</v>
      </c>
      <c r="I26" s="60">
        <f>+'Proposal Form Tier 2-12'!$B$6</f>
        <v>1</v>
      </c>
      <c r="J26" s="3">
        <f>IF('Proposal Form Tier 2-12'!$B$5&lt;&gt;"Tier  - 1 - 10",VLOOKUP('Proposal Form Tier 2-12'!$B$5,Tiers_list!$A:$BC,MATCH($A26,Tiers_list!$2:$2,0),FALSE)*I26,VLOOKUP('Proposal Form Tier 2-12'!$B$5,Tiers_list!$A:$BC,MATCH($A26,Tiers_list!$2:$2,0),FALSE)*I26/10)*(1-'Proposal Form Tier 2-12'!$B$16-'Proposal Form Tier 2-12'!$B$14)</f>
        <v>356.25</v>
      </c>
      <c r="K26" s="3">
        <f>IF('Proposal Form Tier 2-12'!$B$5&lt;&gt;"Tier  - 1 - 10",VLOOKUP('Proposal Form Tier 2-12'!$B$5,Tiers_list!$A:$BC,MATCH($A26,Tiers_list!$2:$2,0),FALSE)*L26*'Proposal Form Tier 2-12'!B$12,VLOOKUP('Proposal Form Tier 2-12'!$B$5,Tiers_list!$A:$BC,MATCH($A26,Tiers_list!$2:$2,0),FALSE)*'Proposal Form Tier 2-12'!B$12*L26/10)*(1-'Proposal Form Tier 2-12'!$B$16-'Proposal Form Tier 2-12'!$B$14)</f>
        <v>178.125</v>
      </c>
      <c r="L26" s="11">
        <f t="shared" si="2"/>
        <v>1</v>
      </c>
      <c r="M26" s="60">
        <f>IF($I26&gt;0,'Proposal Form Tier 2-12'!$B$8,0)</f>
        <v>1</v>
      </c>
      <c r="N26" s="60">
        <f>IF($I26&gt;0,'Proposal Form Tier 2-12'!$B$9,0)</f>
        <v>0</v>
      </c>
      <c r="O26" s="60">
        <f>IF($I26&gt;0,'Proposal Form Tier 2-12'!$B$10,0)</f>
        <v>0</v>
      </c>
      <c r="P26" s="3">
        <f>+(J26/(1-'Proposal Form Tier 2-12'!$B$16-'Proposal Form Tier 2-12'!$B$14))+(K26/(1-'Proposal Form Tier 2-12'!$B$16-'Proposal Form Tier 2-12'!$B$14))</f>
        <v>712.5</v>
      </c>
    </row>
    <row r="27" spans="1:16" s="25" customFormat="1" ht="101.25" outlineLevel="2" x14ac:dyDescent="0.25">
      <c r="A27" s="5" t="s">
        <v>13</v>
      </c>
      <c r="B27" s="10" t="s">
        <v>80</v>
      </c>
      <c r="C27" s="40" t="s">
        <v>115</v>
      </c>
      <c r="D27" s="10" t="s">
        <v>96</v>
      </c>
      <c r="E27" s="10" t="str">
        <f>+'Detail_Proposal_tier 1'!E27</f>
        <v>Credential Integration into 3rd Party systems - HR, Time and Attendance, Payroll, Transaction, Credential Management, etc.</v>
      </c>
      <c r="F27" s="10" t="str">
        <f>+'Detail_Proposal_tier 1'!F27</f>
        <v>ACS Cloud Enterprise can synchronize credential and access event data with external HR, time-and-attendance, payroll, and identity management systems — ensuring that access rights automatically reflect employment status, shift schedules, and organizational changes without requiring duplicate data entry across platforms. This integration eliminates the gaps between physical security and HR processes, reduces the risk of unauthorized access from stale credentials, and provides a unified view of who accessed what and when across interconnected enterprise systems.</v>
      </c>
      <c r="G27" s="10" t="s">
        <v>162</v>
      </c>
      <c r="H27" s="2" t="s">
        <v>20</v>
      </c>
      <c r="I27" s="52">
        <f>_xlfn.XLOOKUP($A27,'Proposal Form Tier 2-12'!$C:$C,'Proposal Form Tier 2-12'!$B:$B,0,0)</f>
        <v>0</v>
      </c>
      <c r="J27" s="3">
        <f>IF('Proposal Form Tier 2-12'!$B$5&lt;&gt;"Tier  - 1 - 10",VLOOKUP('Proposal Form Tier 2-12'!$B$5,Tiers_list!$A:$BC,MATCH($A27,Tiers_list!$2:$2,0),FALSE)*I27,VLOOKUP('Proposal Form Tier 2-12'!$B$5,Tiers_list!$A:$BC,MATCH($A27,Tiers_list!$2:$2,0),FALSE)*I27/10)*(1-'Proposal Form Tier 2-12'!$B$16-'Proposal Form Tier 2-12'!$B$14)</f>
        <v>0</v>
      </c>
      <c r="K27" s="3">
        <f>IF('Proposal Form Tier 2-12'!$B$5&lt;&gt;"Tier  - 1 - 10",VLOOKUP('Proposal Form Tier 2-12'!$B$5,Tiers_list!$A:$BC,MATCH($A27,Tiers_list!$2:$2,0),FALSE)*L27*'Proposal Form Tier 2-12'!B$12,VLOOKUP('Proposal Form Tier 2-12'!$B$5,Tiers_list!$A:$BC,MATCH($A27,Tiers_list!$2:$2,0),FALSE)*'Proposal Form Tier 2-12'!B$12*L27/10)*(1-'Proposal Form Tier 2-12'!$B$16-'Proposal Form Tier 2-12'!$B$14)</f>
        <v>0</v>
      </c>
      <c r="L27" s="11">
        <f t="shared" si="2"/>
        <v>0</v>
      </c>
      <c r="M27" s="52">
        <f>IF($I27&gt;0,'Proposal Form Tier 2-12'!$B$8,0)</f>
        <v>0</v>
      </c>
      <c r="N27" s="52">
        <f>IF($I27&gt;0,'Proposal Form Tier 2-12'!$B$9,0)</f>
        <v>0</v>
      </c>
      <c r="O27" s="52">
        <f>IF($I27&gt;0,'Proposal Form Tier 2-12'!$B$10,0)</f>
        <v>0</v>
      </c>
      <c r="P27" s="3">
        <f>+(J27/(1-'Proposal Form Tier 2-12'!$B$16-'Proposal Form Tier 2-12'!$B$14))+(K27/(1-'Proposal Form Tier 2-12'!$B$16-'Proposal Form Tier 2-12'!$B$14))</f>
        <v>0</v>
      </c>
    </row>
    <row r="28" spans="1:16" s="25" customFormat="1" ht="101.25" outlineLevel="2" x14ac:dyDescent="0.25">
      <c r="A28" s="5" t="s">
        <v>66</v>
      </c>
      <c r="B28" s="10" t="s">
        <v>80</v>
      </c>
      <c r="C28" s="40" t="s">
        <v>115</v>
      </c>
      <c r="D28" s="10" t="s">
        <v>97</v>
      </c>
      <c r="E28" s="10" t="str">
        <f>+'Detail_Proposal_tier 1'!E28</f>
        <v>Facility Sensors integrated to an ACS controller and with Third Party Hardware Data Point (ATM, NVR, Alarm system, etc.) integrations for Loitering, Light, Door, Ingress, Egress, SkimGard, etc. supervision</v>
      </c>
      <c r="F28" s="10" t="str">
        <f>+'Detail_Proposal_tier 1'!F28</f>
        <v>ACS Cloud Enterprise connects facility sensors and third-party hardware devices to the ACS controller ecosystem, enabling sensor-triggered events — such as light sensor readings, presence detection, or environmental alerts — to be captured, processed, and forwarded alongside standard access control events. This gives operators a unified operational picture that combines physical security with facility intelligence, supporting use cases from loitering detection and single-access enforcement to automated alarm responses tied to environmental conditions.</v>
      </c>
      <c r="G28" s="10" t="s">
        <v>162</v>
      </c>
      <c r="H28" s="2" t="s">
        <v>20</v>
      </c>
      <c r="I28" s="52">
        <f>_xlfn.XLOOKUP($A28,'Proposal Form Tier 2-12'!$C:$C,'Proposal Form Tier 2-12'!$B:$B,0,0)</f>
        <v>0</v>
      </c>
      <c r="J28" s="3">
        <f>IF('Proposal Form Tier 2-12'!$B$5&lt;&gt;"Tier  - 1 - 10",VLOOKUP('Proposal Form Tier 2-12'!$B$5,Tiers_list!$A:$BC,MATCH($A28,Tiers_list!$2:$2,0),FALSE)*I28,VLOOKUP('Proposal Form Tier 2-12'!$B$5,Tiers_list!$A:$BC,MATCH($A28,Tiers_list!$2:$2,0),FALSE)*I28/10)*(1-'Proposal Form Tier 2-12'!$B$16-'Proposal Form Tier 2-12'!$B$14)</f>
        <v>0</v>
      </c>
      <c r="K28" s="3">
        <f>IF('Proposal Form Tier 2-12'!$B$5&lt;&gt;"Tier  - 1 - 10",VLOOKUP('Proposal Form Tier 2-12'!$B$5,Tiers_list!$A:$BC,MATCH($A28,Tiers_list!$2:$2,0),FALSE)*L28*'Proposal Form Tier 2-12'!B$12,VLOOKUP('Proposal Form Tier 2-12'!$B$5,Tiers_list!$A:$BC,MATCH($A28,Tiers_list!$2:$2,0),FALSE)*'Proposal Form Tier 2-12'!B$12*L28/10)*(1-'Proposal Form Tier 2-12'!$B$16-'Proposal Form Tier 2-12'!$B$14)</f>
        <v>0</v>
      </c>
      <c r="L28" s="11">
        <f t="shared" si="2"/>
        <v>0</v>
      </c>
      <c r="M28" s="52">
        <f>IF($I28&gt;0,'Proposal Form Tier 2-12'!$B$8,0)</f>
        <v>0</v>
      </c>
      <c r="N28" s="52">
        <f>IF($I28&gt;0,'Proposal Form Tier 2-12'!$B$9,0)</f>
        <v>0</v>
      </c>
      <c r="O28" s="52">
        <f>IF($I28&gt;0,'Proposal Form Tier 2-12'!$B$10,0)</f>
        <v>0</v>
      </c>
      <c r="P28" s="3">
        <f>+(J28/(1-'Proposal Form Tier 2-12'!$B$16-'Proposal Form Tier 2-12'!$B$14))+(K28/(1-'Proposal Form Tier 2-12'!$B$16-'Proposal Form Tier 2-12'!$B$14))</f>
        <v>0</v>
      </c>
    </row>
    <row r="29" spans="1:16" s="25" customFormat="1" ht="22.5" outlineLevel="1" x14ac:dyDescent="0.25">
      <c r="A29" s="40"/>
      <c r="B29" s="124"/>
      <c r="C29" s="15" t="s">
        <v>153</v>
      </c>
      <c r="D29" s="124"/>
      <c r="E29" s="124"/>
      <c r="F29" s="124"/>
      <c r="G29" s="124"/>
      <c r="H29" s="9"/>
      <c r="I29" s="99">
        <f t="shared" ref="I29:P29" si="3">SUBTOTAL(9,I20:I28)</f>
        <v>4</v>
      </c>
      <c r="J29" s="126">
        <f t="shared" si="3"/>
        <v>2315.625</v>
      </c>
      <c r="K29" s="126">
        <f t="shared" si="3"/>
        <v>1157.8125</v>
      </c>
      <c r="L29" s="127">
        <f t="shared" si="3"/>
        <v>4</v>
      </c>
      <c r="M29" s="125">
        <f t="shared" si="3"/>
        <v>4</v>
      </c>
      <c r="N29" s="125">
        <f t="shared" si="3"/>
        <v>0</v>
      </c>
      <c r="O29" s="125">
        <f t="shared" si="3"/>
        <v>0</v>
      </c>
      <c r="P29" s="126">
        <f t="shared" si="3"/>
        <v>4631.25</v>
      </c>
    </row>
    <row r="30" spans="1:16" ht="101.25" outlineLevel="2" x14ac:dyDescent="0.25">
      <c r="A30" s="5" t="s">
        <v>67</v>
      </c>
      <c r="B30" s="10" t="s">
        <v>80</v>
      </c>
      <c r="C30" s="40" t="s">
        <v>117</v>
      </c>
      <c r="D30" s="10" t="s">
        <v>98</v>
      </c>
      <c r="E30" s="10" t="str">
        <f>+'Detail_Proposal_tier 1'!E30</f>
        <v xml:space="preserve">ACS User Data changed / functions executed Activity Tracking </v>
      </c>
      <c r="F30" s="10" t="str">
        <f>+'Detail_Proposal_tier 1'!F30</f>
        <v>Every action taken by an ACS user — from configuration changes and schedule updates to credential assignments and system logins — is automatically captured and stored in a structured activity log that records who did what, when, and from where. Administrators and auditors can search, filter, and export these logs at any time, providing the complete chain of accountability needed for internal audits, compliance reviews, and security investigations without relying on manual record-keeping.</v>
      </c>
      <c r="G30" s="10" t="s">
        <v>161</v>
      </c>
      <c r="H30" s="2" t="s">
        <v>20</v>
      </c>
      <c r="I30" s="60">
        <f>+'Proposal Form Tier 2-12'!$B$6</f>
        <v>1</v>
      </c>
      <c r="J30" s="3">
        <f>IF('Proposal Form Tier 2-12'!$B$5&lt;&gt;"Tier  - 1 - 10",VLOOKUP('Proposal Form Tier 2-12'!$B$5,Tiers_list!$A:$BC,MATCH($A30,Tiers_list!$2:$2,0),FALSE)*I30,VLOOKUP('Proposal Form Tier 2-12'!$B$5,Tiers_list!$A:$BC,MATCH($A30,Tiers_list!$2:$2,0),FALSE)*I30/10)*(1-'Proposal Form Tier 2-12'!$B$16-'Proposal Form Tier 2-12'!$B$14)</f>
        <v>534.375</v>
      </c>
      <c r="K30" s="3">
        <f>IF('Proposal Form Tier 2-12'!$B$5&lt;&gt;"Tier  - 1 - 10",VLOOKUP('Proposal Form Tier 2-12'!$B$5,Tiers_list!$A:$BC,MATCH($A30,Tiers_list!$2:$2,0),FALSE)*L30*'Proposal Form Tier 2-12'!B$12,VLOOKUP('Proposal Form Tier 2-12'!$B$5,Tiers_list!$A:$BC,MATCH($A30,Tiers_list!$2:$2,0),FALSE)*'Proposal Form Tier 2-12'!B$12*L30/10)*(1-'Proposal Form Tier 2-12'!$B$16-'Proposal Form Tier 2-12'!$B$14)</f>
        <v>267.1875</v>
      </c>
      <c r="L30" s="11">
        <f t="shared" ref="L30:L33" si="4">SUM(M30:O30)</f>
        <v>1</v>
      </c>
      <c r="M30" s="60">
        <f>IF($I30&gt;0,'Proposal Form Tier 2-12'!$B$8,0)</f>
        <v>1</v>
      </c>
      <c r="N30" s="60">
        <f>IF($I30&gt;0,'Proposal Form Tier 2-12'!$B$9,0)</f>
        <v>0</v>
      </c>
      <c r="O30" s="60">
        <f>IF($I30&gt;0,'Proposal Form Tier 2-12'!$B$10,0)</f>
        <v>0</v>
      </c>
      <c r="P30" s="3">
        <f>+(J30/(1-'Proposal Form Tier 2-12'!$B$16-'Proposal Form Tier 2-12'!$B$14))+(K30/(1-'Proposal Form Tier 2-12'!$B$16-'Proposal Form Tier 2-12'!$B$14))</f>
        <v>1068.75</v>
      </c>
    </row>
    <row r="31" spans="1:16" ht="101.25" outlineLevel="2" x14ac:dyDescent="0.25">
      <c r="A31" s="2" t="s">
        <v>68</v>
      </c>
      <c r="B31" s="10" t="s">
        <v>80</v>
      </c>
      <c r="C31" s="40" t="s">
        <v>117</v>
      </c>
      <c r="D31" s="10" t="s">
        <v>99</v>
      </c>
      <c r="E31" s="10" t="str">
        <f>+'Detail_Proposal_tier 1'!E31</f>
        <v>Monitor ACS controller and MMR 2.0 Reader Heartbeats and software / DB availability. Event Messages when ACS hardware, MMR 2.0 readers, ACS software and DB availability are not responding to heartbeat requests</v>
      </c>
      <c r="F31" s="10" t="str">
        <f>+'Detail_Proposal_tier 1'!F31</f>
        <v>ACS Cloud Enterprise continuously monitors the heartbeat signals from every controller and MMR 2.0 reader in the network, detecting offline devices within a configurable threshold and triggering immediate alerts to the responsible team before the issue impacts operations. Administrators can set monitoring intervals, configure escalation rules, view real-time device status dashboards, and access detailed uptime and connectivity reports — transforming device health monitoring from a reactive, manual process into a proactive, automated capability.</v>
      </c>
      <c r="G31" s="10" t="s">
        <v>161</v>
      </c>
      <c r="H31" s="2" t="s">
        <v>20</v>
      </c>
      <c r="I31" s="60">
        <f>+'Proposal Form Tier 2-12'!$B$6</f>
        <v>1</v>
      </c>
      <c r="J31" s="3">
        <f>IF('Proposal Form Tier 2-12'!$B$5&lt;&gt;"Tier  - 1 - 10",VLOOKUP('Proposal Form Tier 2-12'!$B$5,Tiers_list!$A:$BC,MATCH($A31,Tiers_list!$2:$2,0),FALSE)*I31,VLOOKUP('Proposal Form Tier 2-12'!$B$5,Tiers_list!$A:$BC,MATCH($A31,Tiers_list!$2:$2,0),FALSE)*I31/10)*(1-'Proposal Form Tier 2-12'!$B$16-'Proposal Form Tier 2-12'!$B$14)</f>
        <v>712.5</v>
      </c>
      <c r="K31" s="3">
        <f>IF('Proposal Form Tier 2-12'!$B$5&lt;&gt;"Tier  - 1 - 10",VLOOKUP('Proposal Form Tier 2-12'!$B$5,Tiers_list!$A:$BC,MATCH($A31,Tiers_list!$2:$2,0),FALSE)*L31*'Proposal Form Tier 2-12'!B$12,VLOOKUP('Proposal Form Tier 2-12'!$B$5,Tiers_list!$A:$BC,MATCH($A31,Tiers_list!$2:$2,0),FALSE)*'Proposal Form Tier 2-12'!B$12*L31/10)*(1-'Proposal Form Tier 2-12'!$B$16-'Proposal Form Tier 2-12'!$B$14)</f>
        <v>356.25</v>
      </c>
      <c r="L31" s="11">
        <f t="shared" si="4"/>
        <v>1</v>
      </c>
      <c r="M31" s="60">
        <f>IF($I31&gt;0,'Proposal Form Tier 2-12'!$B$8,0)</f>
        <v>1</v>
      </c>
      <c r="N31" s="60">
        <f>IF($I31&gt;0,'Proposal Form Tier 2-12'!$B$9,0)</f>
        <v>0</v>
      </c>
      <c r="O31" s="60">
        <f>IF($I31&gt;0,'Proposal Form Tier 2-12'!$B$10,0)</f>
        <v>0</v>
      </c>
      <c r="P31" s="3">
        <f>+(J31/(1-'Proposal Form Tier 2-12'!$B$16-'Proposal Form Tier 2-12'!$B$14))+(K31/(1-'Proposal Form Tier 2-12'!$B$16-'Proposal Form Tier 2-12'!$B$14))</f>
        <v>1425</v>
      </c>
    </row>
    <row r="32" spans="1:16" ht="101.25" outlineLevel="2" x14ac:dyDescent="0.25">
      <c r="A32" s="5" t="s">
        <v>69</v>
      </c>
      <c r="B32" s="10" t="s">
        <v>80</v>
      </c>
      <c r="C32" s="40" t="s">
        <v>117</v>
      </c>
      <c r="D32" s="10" t="s">
        <v>100</v>
      </c>
      <c r="E32" s="10" t="str">
        <f>+'Detail_Proposal_tier 1'!E32</f>
        <v>Collect/Validate/Report/Notify of ACS hardware configuration discrepancies with configuration settings defined for each ACS / MMR 2.0 hardware device within the DB</v>
      </c>
      <c r="F32" s="10" t="str">
        <f>+'Detail_Proposal_tier 1'!F32</f>
        <v>ACS Cloud Enterprise automatically compares the configuration stored in the cloud database against the actual configuration resident in each controller, flagging any discrepancies in schedules, credential lists, network settings, or device assignments before they cause operational failures or compliance gaps. When a mismatch is detected, the system notifies the responsible team and provides the context needed to resolve the discrepancy quickly — eliminating the silent configuration drift that can undermine security and audit readiness in large, distributed deployments.</v>
      </c>
      <c r="G32" s="10" t="s">
        <v>161</v>
      </c>
      <c r="H32" s="2" t="s">
        <v>20</v>
      </c>
      <c r="I32" s="60">
        <f>+'Proposal Form Tier 2-12'!$B$6</f>
        <v>1</v>
      </c>
      <c r="J32" s="3">
        <f>IF('Proposal Form Tier 2-12'!$B$5&lt;&gt;"Tier  - 1 - 10",VLOOKUP('Proposal Form Tier 2-12'!$B$5,Tiers_list!$A:$BC,MATCH($A32,Tiers_list!$2:$2,0),FALSE)*I32,VLOOKUP('Proposal Form Tier 2-12'!$B$5,Tiers_list!$A:$BC,MATCH($A32,Tiers_list!$2:$2,0),FALSE)*I32/10)*(1-'Proposal Form Tier 2-12'!$B$16-'Proposal Form Tier 2-12'!$B$14)</f>
        <v>534.375</v>
      </c>
      <c r="K32" s="3">
        <f>IF('Proposal Form Tier 2-12'!$B$5&lt;&gt;"Tier  - 1 - 10",VLOOKUP('Proposal Form Tier 2-12'!$B$5,Tiers_list!$A:$BC,MATCH($A32,Tiers_list!$2:$2,0),FALSE)*L32*'Proposal Form Tier 2-12'!B$12,VLOOKUP('Proposal Form Tier 2-12'!$B$5,Tiers_list!$A:$BC,MATCH($A32,Tiers_list!$2:$2,0),FALSE)*'Proposal Form Tier 2-12'!B$12*L32/10)*(1-'Proposal Form Tier 2-12'!$B$16-'Proposal Form Tier 2-12'!$B$14)</f>
        <v>267.1875</v>
      </c>
      <c r="L32" s="11">
        <f t="shared" si="4"/>
        <v>1</v>
      </c>
      <c r="M32" s="60">
        <f>IF($I32&gt;0,'Proposal Form Tier 2-12'!$B$8,0)</f>
        <v>1</v>
      </c>
      <c r="N32" s="60">
        <f>IF($I32&gt;0,'Proposal Form Tier 2-12'!$B$9,0)</f>
        <v>0</v>
      </c>
      <c r="O32" s="60">
        <f>IF($I32&gt;0,'Proposal Form Tier 2-12'!$B$10,0)</f>
        <v>0</v>
      </c>
      <c r="P32" s="3">
        <f>+(J32/(1-'Proposal Form Tier 2-12'!$B$16-'Proposal Form Tier 2-12'!$B$14))+(K32/(1-'Proposal Form Tier 2-12'!$B$16-'Proposal Form Tier 2-12'!$B$14))</f>
        <v>1068.75</v>
      </c>
    </row>
    <row r="33" spans="1:16" ht="101.25" outlineLevel="2" x14ac:dyDescent="0.25">
      <c r="A33" s="2" t="s">
        <v>70</v>
      </c>
      <c r="B33" s="10" t="s">
        <v>80</v>
      </c>
      <c r="C33" s="40" t="s">
        <v>117</v>
      </c>
      <c r="D33" s="10" t="s">
        <v>101</v>
      </c>
      <c r="E33" s="10" t="str">
        <f>+'Detail_Proposal_tier 1'!E33</f>
        <v>Suspend ACS hardware and software message transmission and/or integration configuration activation with an until date/time</v>
      </c>
      <c r="F33" s="10" t="str">
        <f>+'Detail_Proposal_tier 1'!F33</f>
        <v>Operators can temporarily suspend the transmission of ACS event messages and integration configurations to specified external systems for a defined window — providing a controlled way to pause outbound data flows during maintenance, system updates, or planned downtime without losing the underlying event data. All suppression activity is logged, suppressed server lists are visible for audit review, and normal transmission resumes automatically when the suppression window closes, ensuring that operational maintenance never creates permanent gaps in the monitoring record.</v>
      </c>
      <c r="G33" s="10" t="s">
        <v>162</v>
      </c>
      <c r="H33" s="2" t="s">
        <v>20</v>
      </c>
      <c r="I33" s="52">
        <f>_xlfn.XLOOKUP($A33,'Proposal Form Tier 2-12'!$C:$C,'Proposal Form Tier 2-12'!$B:$B,0,0)</f>
        <v>0</v>
      </c>
      <c r="J33" s="3">
        <f>IF('Proposal Form Tier 2-12'!$B$5&lt;&gt;"Tier  - 1 - 10",VLOOKUP('Proposal Form Tier 2-12'!$B$5,Tiers_list!$A:$BC,MATCH($A33,Tiers_list!$2:$2,0),FALSE)*I33,VLOOKUP('Proposal Form Tier 2-12'!$B$5,Tiers_list!$A:$BC,MATCH($A33,Tiers_list!$2:$2,0),FALSE)*I33/10)*(1-'Proposal Form Tier 2-12'!$B$16-'Proposal Form Tier 2-12'!$B$14)</f>
        <v>0</v>
      </c>
      <c r="K33" s="3">
        <f>IF('Proposal Form Tier 2-12'!$B$5&lt;&gt;"Tier  - 1 - 10",VLOOKUP('Proposal Form Tier 2-12'!$B$5,Tiers_list!$A:$BC,MATCH($A33,Tiers_list!$2:$2,0),FALSE)*L33*'Proposal Form Tier 2-12'!B$12,VLOOKUP('Proposal Form Tier 2-12'!$B$5,Tiers_list!$A:$BC,MATCH($A33,Tiers_list!$2:$2,0),FALSE)*'Proposal Form Tier 2-12'!B$12*L33/10)*(1-'Proposal Form Tier 2-12'!$B$16-'Proposal Form Tier 2-12'!$B$14)</f>
        <v>0</v>
      </c>
      <c r="L33" s="11">
        <f t="shared" si="4"/>
        <v>0</v>
      </c>
      <c r="M33" s="52">
        <f>IF($I33&gt;0,'Proposal Form Tier 2-12'!$B$8,0)</f>
        <v>0</v>
      </c>
      <c r="N33" s="52">
        <f>IF($I33&gt;0,'Proposal Form Tier 2-12'!$B$9,0)</f>
        <v>0</v>
      </c>
      <c r="O33" s="52">
        <f>IF($I33&gt;0,'Proposal Form Tier 2-12'!$B$10,0)</f>
        <v>0</v>
      </c>
      <c r="P33" s="3">
        <f>+(J33/(1-'Proposal Form Tier 2-12'!$B$16-'Proposal Form Tier 2-12'!$B$14))+(K33/(1-'Proposal Form Tier 2-12'!$B$16-'Proposal Form Tier 2-12'!$B$14))</f>
        <v>0</v>
      </c>
    </row>
    <row r="34" spans="1:16" ht="33.75" outlineLevel="1" x14ac:dyDescent="0.25">
      <c r="A34" s="9"/>
      <c r="B34" s="124"/>
      <c r="C34" s="15" t="s">
        <v>154</v>
      </c>
      <c r="D34" s="124"/>
      <c r="E34" s="124"/>
      <c r="F34" s="124"/>
      <c r="G34" s="124"/>
      <c r="H34" s="9"/>
      <c r="I34" s="125">
        <f t="shared" ref="I34:P34" si="5">SUBTOTAL(9,I30:I33)</f>
        <v>3</v>
      </c>
      <c r="J34" s="126">
        <f t="shared" si="5"/>
        <v>1781.25</v>
      </c>
      <c r="K34" s="126">
        <f t="shared" si="5"/>
        <v>890.625</v>
      </c>
      <c r="L34" s="127">
        <f t="shared" si="5"/>
        <v>3</v>
      </c>
      <c r="M34" s="125">
        <f t="shared" si="5"/>
        <v>3</v>
      </c>
      <c r="N34" s="125">
        <f t="shared" si="5"/>
        <v>0</v>
      </c>
      <c r="O34" s="125">
        <f t="shared" si="5"/>
        <v>0</v>
      </c>
      <c r="P34" s="126">
        <f t="shared" si="5"/>
        <v>3562.5</v>
      </c>
    </row>
    <row r="35" spans="1:16" s="4" customFormat="1" ht="101.25" outlineLevel="2" x14ac:dyDescent="0.25">
      <c r="A35" s="2" t="s">
        <v>71</v>
      </c>
      <c r="B35" s="10" t="s">
        <v>80</v>
      </c>
      <c r="C35" s="40" t="s">
        <v>116</v>
      </c>
      <c r="D35" s="13" t="str">
        <f>_xlfn.XLOOKUP(A35,Tiers_list!$2:$2,Tiers_list!$1:$1,,0)</f>
        <v>ACS Job Scheduler Service Module</v>
      </c>
      <c r="E35" s="10" t="str">
        <f>+'Detail_Proposal_tier 1'!E35</f>
        <v xml:space="preserve">ACS Users schedule effective date/time ACS controller/MMR 2.0 reader configurations to be executed, i.e., reader, I/O, 3rd party integrations, temporary override, configuration settings, weekly and holiday schedules, firmware updates, encryption key/certificate updates, data collection, etc. </v>
      </c>
      <c r="F35" s="10" t="str">
        <f>+'Detail_Proposal_tier 1'!F35</f>
        <v>Administrators and operators can schedule automated jobs to push configuration updates, initialize access schedules, and manage credential lists across any number of controllers and sites at a defined date and time — eliminating the need for manual, site-by-site initialization during operational hours. Jobs can be configured for one-time, weekly, or monthly recurrence, scoped to individual sites or entire territories, and monitored in real time with automatic retry logic and failure alerts, making large-scale system updates manageable, predictable, and audit-ready.</v>
      </c>
      <c r="G35" s="10" t="s">
        <v>173</v>
      </c>
      <c r="H35" s="2" t="s">
        <v>20</v>
      </c>
      <c r="I35" s="53">
        <f>_xlfn.XLOOKUP($A35,'Proposal Form Tier 2-12'!$C:$C,'Proposal Form Tier 2-12'!$B:$B,0,0)</f>
        <v>1</v>
      </c>
      <c r="J35" s="3">
        <f>IF('Proposal Form Tier 2-12'!$B$5&lt;&gt;"Tier  - 1 - 10",VLOOKUP('Proposal Form Tier 2-12'!$B$5,Tiers_list!$A:$BC,MATCH($A35,Tiers_list!$2:$2,0),FALSE)*I35,VLOOKUP('Proposal Form Tier 2-12'!$B$5,Tiers_list!$A:$BC,MATCH($A35,Tiers_list!$2:$2,0),FALSE)*I35/10)*(1-'Proposal Form Tier 2-12'!$B$16-'Proposal Form Tier 2-12'!$B$14)</f>
        <v>534.375</v>
      </c>
      <c r="K35" s="3">
        <f>IF('Proposal Form Tier 2-12'!$B$5&lt;&gt;"Tier  - 1 - 10",VLOOKUP('Proposal Form Tier 2-12'!$B$5,Tiers_list!$A:$BC,MATCH($A35,Tiers_list!$2:$2,0),FALSE)*L35*'Proposal Form Tier 2-12'!B$12,VLOOKUP('Proposal Form Tier 2-12'!$B$5,Tiers_list!$A:$BC,MATCH($A35,Tiers_list!$2:$2,0),FALSE)*'Proposal Form Tier 2-12'!B$12*L35/10)*(1-'Proposal Form Tier 2-12'!$B$16-'Proposal Form Tier 2-12'!$B$14)</f>
        <v>267.1875</v>
      </c>
      <c r="L35" s="11">
        <f t="shared" ref="L35:L42" si="6">SUM(M35:O35)</f>
        <v>1</v>
      </c>
      <c r="M35" s="53">
        <f>IF($I35&gt;0,'Proposal Form Tier 2-12'!$B$8,0)</f>
        <v>1</v>
      </c>
      <c r="N35" s="53">
        <f>IF($I35&gt;0,'Proposal Form Tier 2-12'!$B$9,0)</f>
        <v>0</v>
      </c>
      <c r="O35" s="53">
        <f>IF($I35&gt;0,'Proposal Form Tier 2-12'!$B$10,0)</f>
        <v>0</v>
      </c>
      <c r="P35" s="3">
        <f>+(J35/(1-'Proposal Form Tier 2-12'!$B$16-'Proposal Form Tier 2-12'!$B$14))+(K35/(1-'Proposal Form Tier 2-12'!$B$16-'Proposal Form Tier 2-12'!$B$14))</f>
        <v>1068.75</v>
      </c>
    </row>
    <row r="36" spans="1:16" ht="101.25" outlineLevel="2" x14ac:dyDescent="0.25">
      <c r="A36" s="5" t="s">
        <v>61</v>
      </c>
      <c r="B36" s="10" t="s">
        <v>80</v>
      </c>
      <c r="C36" s="40" t="s">
        <v>116</v>
      </c>
      <c r="D36" s="13" t="str">
        <f>_xlfn.XLOOKUP(A36,Tiers_list!$2:$2,Tiers_list!$1:$1,,0)</f>
        <v>AFH / Data Collection Service Module</v>
      </c>
      <c r="E36" s="10" t="str">
        <f>+'Detail_Proposal_tier 1'!E36</f>
        <v xml:space="preserve">Collect/receive ACS hardware / software status Event Messages, Credential Events, User activity and writes stores them within the ACS SQL DB.  </v>
      </c>
      <c r="F36" s="10" t="str">
        <f>+'Detail_Proposal_tier 1'!F36</f>
        <v>ACS Cloud Enterprise continuously collects and stores every event message and credential read event transmitted by ACS controllers in real time — covering access grants, rejections, alarms, device status updates, login events, and more — into a centralized, searchable audit trail. Operators can view, filter, and export this complete event history at any time, ensuring that the full record of what happened at every entrance, on every device, across every site is always available for security review, incident investigation, or compliance reporting.</v>
      </c>
      <c r="G36" s="10" t="s">
        <v>163</v>
      </c>
      <c r="H36" s="2" t="s">
        <v>20</v>
      </c>
      <c r="I36" s="53">
        <f>_xlfn.XLOOKUP($A36,'Proposal Form Tier 2-12'!$C:$C,'Proposal Form Tier 2-12'!$B:$B,0,0)</f>
        <v>1</v>
      </c>
      <c r="J36" s="3">
        <f>IF('Proposal Form Tier 2-12'!$B$5&lt;&gt;"Tier  - 1 - 10",VLOOKUP('Proposal Form Tier 2-12'!$B$5,Tiers_list!$A:$BC,MATCH($A36,Tiers_list!$2:$2,0),FALSE)*I36,VLOOKUP('Proposal Form Tier 2-12'!$B$5,Tiers_list!$A:$BC,MATCH($A36,Tiers_list!$2:$2,0),FALSE)*I36/10)*(1-'Proposal Form Tier 2-12'!$B$16-'Proposal Form Tier 2-12'!$B$14)</f>
        <v>534.375</v>
      </c>
      <c r="K36" s="3">
        <f>IF('Proposal Form Tier 2-12'!$B$5&lt;&gt;"Tier  - 1 - 10",VLOOKUP('Proposal Form Tier 2-12'!$B$5,Tiers_list!$A:$BC,MATCH($A36,Tiers_list!$2:$2,0),FALSE)*L36*'Proposal Form Tier 2-12'!B$12,VLOOKUP('Proposal Form Tier 2-12'!$B$5,Tiers_list!$A:$BC,MATCH($A36,Tiers_list!$2:$2,0),FALSE)*'Proposal Form Tier 2-12'!B$12*L36/10)*(1-'Proposal Form Tier 2-12'!$B$16-'Proposal Form Tier 2-12'!$B$14)</f>
        <v>267.1875</v>
      </c>
      <c r="L36" s="11">
        <f t="shared" si="6"/>
        <v>1</v>
      </c>
      <c r="M36" s="53">
        <f>IF($I36&gt;0,'Proposal Form Tier 2-12'!$B$8,0)</f>
        <v>1</v>
      </c>
      <c r="N36" s="53">
        <f>IF($I36&gt;0,'Proposal Form Tier 2-12'!$B$9,0)</f>
        <v>0</v>
      </c>
      <c r="O36" s="53">
        <f>IF($I36&gt;0,'Proposal Form Tier 2-12'!$B$10,0)</f>
        <v>0</v>
      </c>
      <c r="P36" s="3">
        <f>+(J36/(1-'Proposal Form Tier 2-12'!$B$16-'Proposal Form Tier 2-12'!$B$14))+(K36/(1-'Proposal Form Tier 2-12'!$B$16-'Proposal Form Tier 2-12'!$B$14))</f>
        <v>1068.75</v>
      </c>
    </row>
    <row r="37" spans="1:16" ht="101.25" outlineLevel="2" x14ac:dyDescent="0.25">
      <c r="A37" s="2" t="s">
        <v>62</v>
      </c>
      <c r="B37" s="10" t="s">
        <v>80</v>
      </c>
      <c r="C37" s="40" t="s">
        <v>116</v>
      </c>
      <c r="D37" s="13" t="str">
        <f>_xlfn.XLOOKUP(A37,Tiers_list!$2:$2,Tiers_list!$1:$1,,0)</f>
        <v>Remote ACS Hardware firmware updates Module</v>
      </c>
      <c r="E37" s="10" t="str">
        <f>+'Detail_Proposal_tier 1'!E37</f>
        <v>Remote ACS controller and MMR 2.0 reader firmware updates</v>
      </c>
      <c r="F37" s="10" t="str">
        <f>+'Detail_Proposal_tier 1'!F37</f>
        <v>Administrators can remotely update the firmware of ACS controllers and MMR 2.0 readers across all sites without dispatching technicians — selecting the target firmware version, scoping the update to specific devices or territories, and scheduling execution during off-peak hours through the job scheduler. Firmware files go through an approval process before deployment, update progress is tracked in real time with automatic retry on failure, and all activity is logged — ensuring that every device in the estate stays current, secure, and operating on validated software.</v>
      </c>
      <c r="G37" s="10" t="s">
        <v>163</v>
      </c>
      <c r="H37" s="2" t="s">
        <v>20</v>
      </c>
      <c r="I37" s="53">
        <f>_xlfn.XLOOKUP($A37,'Proposal Form Tier 2-12'!$C:$C,'Proposal Form Tier 2-12'!$B:$B,0,0)</f>
        <v>1</v>
      </c>
      <c r="J37" s="3">
        <f>IF('Proposal Form Tier 2-12'!$B$5&lt;&gt;"Tier  - 1 - 10",VLOOKUP('Proposal Form Tier 2-12'!$B$5,Tiers_list!$A:$BC,MATCH($A37,Tiers_list!$2:$2,0),FALSE)*I37,VLOOKUP('Proposal Form Tier 2-12'!$B$5,Tiers_list!$A:$BC,MATCH($A37,Tiers_list!$2:$2,0),FALSE)*I37/10)*(1-'Proposal Form Tier 2-12'!$B$16-'Proposal Form Tier 2-12'!$B$14)</f>
        <v>712.5</v>
      </c>
      <c r="K37" s="3">
        <f>IF('Proposal Form Tier 2-12'!$B$5&lt;&gt;"Tier  - 1 - 10",VLOOKUP('Proposal Form Tier 2-12'!$B$5,Tiers_list!$A:$BC,MATCH($A37,Tiers_list!$2:$2,0),FALSE)*L37*'Proposal Form Tier 2-12'!B$12,VLOOKUP('Proposal Form Tier 2-12'!$B$5,Tiers_list!$A:$BC,MATCH($A37,Tiers_list!$2:$2,0),FALSE)*'Proposal Form Tier 2-12'!B$12*L37/10)*(1-'Proposal Form Tier 2-12'!$B$16-'Proposal Form Tier 2-12'!$B$14)</f>
        <v>356.25</v>
      </c>
      <c r="L37" s="11">
        <f t="shared" si="6"/>
        <v>1</v>
      </c>
      <c r="M37" s="53">
        <f>IF($I37&gt;0,'Proposal Form Tier 2-12'!$B$8,0)</f>
        <v>1</v>
      </c>
      <c r="N37" s="53">
        <f>IF($I37&gt;0,'Proposal Form Tier 2-12'!$B$9,0)</f>
        <v>0</v>
      </c>
      <c r="O37" s="53">
        <f>IF($I37&gt;0,'Proposal Form Tier 2-12'!$B$10,0)</f>
        <v>0</v>
      </c>
      <c r="P37" s="3">
        <f>+(J37/(1-'Proposal Form Tier 2-12'!$B$16-'Proposal Form Tier 2-12'!$B$14))+(K37/(1-'Proposal Form Tier 2-12'!$B$16-'Proposal Form Tier 2-12'!$B$14))</f>
        <v>1425</v>
      </c>
    </row>
    <row r="38" spans="1:16" ht="101.25" outlineLevel="2" x14ac:dyDescent="0.25">
      <c r="A38" s="5" t="s">
        <v>72</v>
      </c>
      <c r="B38" s="10" t="s">
        <v>80</v>
      </c>
      <c r="C38" s="40" t="s">
        <v>116</v>
      </c>
      <c r="D38" s="13" t="str">
        <f>_xlfn.XLOOKUP(A38,Tiers_list!$2:$2,Tiers_list!$1:$1,,0)</f>
        <v>Door / Entrance Supervision Configuration Module</v>
      </c>
      <c r="E38" s="10" t="str">
        <f>+'Detail_Proposal_tier 1'!E38</f>
        <v>Configuration of Door Ajar, Door Opening Excessively during Access and Locked scheduled states. Event message thresholds are configurable for entry and egress supervision frequency.(Requires a Door Contact and Egress device integrated into the ACS controller)</v>
      </c>
      <c r="F38" s="10" t="str">
        <f>+'Detail_Proposal_tier 1'!F38</f>
        <v>Operators can configure and enforce door behavior rules that detect when a door is left open beyond an acceptable time (Door Ajar) or opened too frequently relative to credential reads — triggering alerts before a minor door issue becomes a security or compliance concern. Threshold values are configurable per reader and per site, default settings can be applied organization-wide, and all configuration changes are logged with full traceability of who set what and when.</v>
      </c>
      <c r="G38" s="10" t="s">
        <v>162</v>
      </c>
      <c r="H38" s="2" t="s">
        <v>20</v>
      </c>
      <c r="I38" s="52">
        <f>_xlfn.XLOOKUP($A38,'Proposal Form Tier 2-12'!$C:$C,'Proposal Form Tier 2-12'!$B:$B,0,0)</f>
        <v>0</v>
      </c>
      <c r="J38" s="3">
        <f>IF('Proposal Form Tier 2-12'!$B$5&lt;&gt;"Tier  - 1 - 10",VLOOKUP('Proposal Form Tier 2-12'!$B$5,Tiers_list!$A:$BC,MATCH($A38,Tiers_list!$2:$2,0),FALSE)*I38,VLOOKUP('Proposal Form Tier 2-12'!$B$5,Tiers_list!$A:$BC,MATCH($A38,Tiers_list!$2:$2,0),FALSE)*I38/10)*(1-'Proposal Form Tier 2-12'!$B$16-'Proposal Form Tier 2-12'!$B$14)</f>
        <v>0</v>
      </c>
      <c r="K38" s="3">
        <f>IF('Proposal Form Tier 2-12'!$B$5&lt;&gt;"Tier  - 1 - 10",VLOOKUP('Proposal Form Tier 2-12'!$B$5,Tiers_list!$A:$BC,MATCH($A38,Tiers_list!$2:$2,0),FALSE)*L38*'Proposal Form Tier 2-12'!B$12,VLOOKUP('Proposal Form Tier 2-12'!$B$5,Tiers_list!$A:$BC,MATCH($A38,Tiers_list!$2:$2,0),FALSE)*'Proposal Form Tier 2-12'!B$12*L38/10)*(1-'Proposal Form Tier 2-12'!$B$16-'Proposal Form Tier 2-12'!$B$14)</f>
        <v>0</v>
      </c>
      <c r="L38" s="11">
        <f t="shared" si="6"/>
        <v>0</v>
      </c>
      <c r="M38" s="52">
        <f>IF($I38&gt;0,'Proposal Form Tier 2-12'!$B$8,0)</f>
        <v>0</v>
      </c>
      <c r="N38" s="52">
        <f>IF($I38&gt;0,'Proposal Form Tier 2-12'!$B$9,0)</f>
        <v>0</v>
      </c>
      <c r="O38" s="52">
        <f>IF($I38&gt;0,'Proposal Form Tier 2-12'!$B$10,0)</f>
        <v>0</v>
      </c>
      <c r="P38" s="3">
        <f>+(J38/(1-'Proposal Form Tier 2-12'!$B$16-'Proposal Form Tier 2-12'!$B$14))+(K38/(1-'Proposal Form Tier 2-12'!$B$16-'Proposal Form Tier 2-12'!$B$14))</f>
        <v>0</v>
      </c>
    </row>
    <row r="39" spans="1:16" ht="101.25" outlineLevel="2" x14ac:dyDescent="0.25">
      <c r="A39" s="5" t="s">
        <v>73</v>
      </c>
      <c r="B39" s="10" t="s">
        <v>80</v>
      </c>
      <c r="C39" s="40" t="s">
        <v>116</v>
      </c>
      <c r="D39" s="13" t="str">
        <f>_xlfn.XLOOKUP(A39,Tiers_list!$2:$2,Tiers_list!$1:$1,,0)</f>
        <v>ACS Hardware Firmware Version Supervision Module</v>
      </c>
      <c r="E39" s="10" t="str">
        <f>+'Detail_Proposal_tier 1'!E39</f>
        <v>MMR 2.0 reader and ACS controller approved firmware version and serial number supervision</v>
      </c>
      <c r="F39" s="10" t="str">
        <f>+'Detail_Proposal_tier 1'!F39</f>
        <v>ACS Cloud Enterprise maintains a live inventory of the approved firmware versions and serial numbers for every controller and reader in the estate, automatically flagging devices that are running outdated or unapproved firmware versions. This gives administrators a continuous, accurate view of firmware compliance across the entire device fleet, supports proactive update planning, and ensures that no device is overlooked during firmware rollouts — eliminating the audit risk of unknown or uncertified firmware running in a live security environment.</v>
      </c>
      <c r="G39" s="10" t="s">
        <v>161</v>
      </c>
      <c r="H39" s="2" t="s">
        <v>20</v>
      </c>
      <c r="I39" s="60">
        <f>+'Proposal Form Tier 2-12'!$B$6</f>
        <v>1</v>
      </c>
      <c r="J39" s="3">
        <f>IF('Proposal Form Tier 2-12'!$B$5&lt;&gt;"Tier  - 1 - 10",VLOOKUP('Proposal Form Tier 2-12'!$B$5,Tiers_list!$A:$BC,MATCH($A39,Tiers_list!$2:$2,0),FALSE)*I39,VLOOKUP('Proposal Form Tier 2-12'!$B$5,Tiers_list!$A:$BC,MATCH($A39,Tiers_list!$2:$2,0),FALSE)*I39/10)*(1-'Proposal Form Tier 2-12'!$B$16-'Proposal Form Tier 2-12'!$B$14)</f>
        <v>356.25</v>
      </c>
      <c r="K39" s="3">
        <f>IF('Proposal Form Tier 2-12'!$B$5&lt;&gt;"Tier  - 1 - 10",VLOOKUP('Proposal Form Tier 2-12'!$B$5,Tiers_list!$A:$BC,MATCH($A39,Tiers_list!$2:$2,0),FALSE)*L39*'Proposal Form Tier 2-12'!B$12,VLOOKUP('Proposal Form Tier 2-12'!$B$5,Tiers_list!$A:$BC,MATCH($A39,Tiers_list!$2:$2,0),FALSE)*'Proposal Form Tier 2-12'!B$12*L39/10)*(1-'Proposal Form Tier 2-12'!$B$16-'Proposal Form Tier 2-12'!$B$14)</f>
        <v>178.125</v>
      </c>
      <c r="L39" s="11">
        <f t="shared" si="6"/>
        <v>1</v>
      </c>
      <c r="M39" s="60">
        <f>IF($I39&gt;0,'Proposal Form Tier 2-12'!$B$8,0)</f>
        <v>1</v>
      </c>
      <c r="N39" s="60">
        <f>IF($I39&gt;0,'Proposal Form Tier 2-12'!$B$9,0)</f>
        <v>0</v>
      </c>
      <c r="O39" s="60">
        <f>IF($I39&gt;0,'Proposal Form Tier 2-12'!$B$10,0)</f>
        <v>0</v>
      </c>
      <c r="P39" s="3">
        <f>+(J39/(1-'Proposal Form Tier 2-12'!$B$16-'Proposal Form Tier 2-12'!$B$14))+(K39/(1-'Proposal Form Tier 2-12'!$B$16-'Proposal Form Tier 2-12'!$B$14))</f>
        <v>712.5</v>
      </c>
    </row>
    <row r="40" spans="1:16" ht="101.25" outlineLevel="2" x14ac:dyDescent="0.25">
      <c r="A40" s="2" t="s">
        <v>74</v>
      </c>
      <c r="B40" s="10" t="s">
        <v>80</v>
      </c>
      <c r="C40" s="40" t="s">
        <v>116</v>
      </c>
      <c r="D40" s="13" t="str">
        <f>_xlfn.XLOOKUP(A40,Tiers_list!$2:$2,Tiers_list!$1:$1,,0)</f>
        <v>ACS Data Retention / Archive Module</v>
      </c>
      <c r="E40" s="10" t="str">
        <f>+'Detail_Proposal_tier 1'!E40</f>
        <v>Definable ACS data (Credentials read, Event Message, ACS User Activity and hardware configuration history) archive management, reports and archive data history viewer.</v>
      </c>
      <c r="F40" s="10" t="str">
        <f>+'Detail_Proposal_tier 1'!F40</f>
        <v>ACS Cloud Enterprise enables administrators to define retention policies for all system data — including credential events, configuration history, user activity logs, and hardware records — with automatic archiving and purging that keeps storage costs under control while ensuring the organization meets its regulatory and compliance obligations. Archived data remains accessible during the retention window, all archiving activity is captured in a compliance audit log, and access to archived records is restricted to authorized personnel — giving organizations defensible data governance without manual data management overhead.</v>
      </c>
      <c r="G40" s="10" t="s">
        <v>161</v>
      </c>
      <c r="H40" s="2" t="s">
        <v>20</v>
      </c>
      <c r="I40" s="60">
        <f>+'Proposal Form Tier 2-12'!$B$6</f>
        <v>1</v>
      </c>
      <c r="J40" s="3">
        <f>IF('Proposal Form Tier 2-12'!$B$5&lt;&gt;"Tier  - 1 - 10",VLOOKUP('Proposal Form Tier 2-12'!$B$5,Tiers_list!$A:$BC,MATCH($A40,Tiers_list!$2:$2,0),FALSE)*I40,VLOOKUP('Proposal Form Tier 2-12'!$B$5,Tiers_list!$A:$BC,MATCH($A40,Tiers_list!$2:$2,0),FALSE)*I40/10)*(1-'Proposal Form Tier 2-12'!$B$16-'Proposal Form Tier 2-12'!$B$14)</f>
        <v>356.25</v>
      </c>
      <c r="K40" s="3">
        <f>IF('Proposal Form Tier 2-12'!$B$5&lt;&gt;"Tier  - 1 - 10",VLOOKUP('Proposal Form Tier 2-12'!$B$5,Tiers_list!$A:$BC,MATCH($A40,Tiers_list!$2:$2,0),FALSE)*L40*'Proposal Form Tier 2-12'!B$12,VLOOKUP('Proposal Form Tier 2-12'!$B$5,Tiers_list!$A:$BC,MATCH($A40,Tiers_list!$2:$2,0),FALSE)*'Proposal Form Tier 2-12'!B$12*L40/10)*(1-'Proposal Form Tier 2-12'!$B$16-'Proposal Form Tier 2-12'!$B$14)</f>
        <v>178.125</v>
      </c>
      <c r="L40" s="11">
        <f t="shared" si="6"/>
        <v>1</v>
      </c>
      <c r="M40" s="60">
        <f>IF($I40&gt;0,'Proposal Form Tier 2-12'!$B$8,0)</f>
        <v>1</v>
      </c>
      <c r="N40" s="60">
        <f>IF($I40&gt;0,'Proposal Form Tier 2-12'!$B$9,0)</f>
        <v>0</v>
      </c>
      <c r="O40" s="60">
        <f>IF($I40&gt;0,'Proposal Form Tier 2-12'!$B$10,0)</f>
        <v>0</v>
      </c>
      <c r="P40" s="3">
        <f>+(J40/(1-'Proposal Form Tier 2-12'!$B$16-'Proposal Form Tier 2-12'!$B$14))+(K40/(1-'Proposal Form Tier 2-12'!$B$16-'Proposal Form Tier 2-12'!$B$14))</f>
        <v>712.5</v>
      </c>
    </row>
    <row r="41" spans="1:16" ht="101.25" outlineLevel="2" x14ac:dyDescent="0.25">
      <c r="A41" s="2" t="s">
        <v>442</v>
      </c>
      <c r="B41" s="10" t="s">
        <v>80</v>
      </c>
      <c r="C41" s="40" t="s">
        <v>116</v>
      </c>
      <c r="D41" s="13" t="str">
        <f>_xlfn.XLOOKUP(A41,Tiers_list!$2:$2,Tiers_list!$1:$1,,0)</f>
        <v>Scheduled ACS Export / Report Distribution Module</v>
      </c>
      <c r="E41" s="10" t="str">
        <f>+'Detail_Proposal_tier 1'!E41</f>
        <v>Scheduled ACS Export / Report Distribution</v>
      </c>
      <c r="F41" s="10" t="str">
        <f>+'Detail_Proposal_tier 1'!F41</f>
        <v>Administrators can configure recurring scheduled exports of any ACS report — access event summaries, credential analytics, user activity logs, job results, or configuration histories — and have them automatically delivered by email to defined recipient groups on a daily, weekly, or monthly basis. This eliminates the manual effort of pulling and distributing reports, ensures that managers and auditors receive the information they need without logging into the system, and creates a consistent, documented cadence of operational and compliance reporting.</v>
      </c>
      <c r="G41" s="10" t="s">
        <v>161</v>
      </c>
      <c r="H41" s="2" t="s">
        <v>20</v>
      </c>
      <c r="I41" s="60">
        <f>+'Proposal Form Tier 2-12'!$B$6</f>
        <v>1</v>
      </c>
      <c r="J41" s="3">
        <f>IF('Proposal Form Tier 2-12'!$B$5&lt;&gt;"Tier  - 1 - 10",VLOOKUP('Proposal Form Tier 2-12'!$B$5,Tiers_list!$A:$BC,MATCH($A41,Tiers_list!$2:$2,0),FALSE)*I41,VLOOKUP('Proposal Form Tier 2-12'!$B$5,Tiers_list!$A:$BC,MATCH($A41,Tiers_list!$2:$2,0),FALSE)*I41/10)*(1-'Proposal Form Tier 2-12'!$B$16-'Proposal Form Tier 2-12'!$B$14)</f>
        <v>356.25</v>
      </c>
      <c r="K41" s="3">
        <f>IF('Proposal Form Tier 2-12'!$B$5&lt;&gt;"Tier  - 1 - 10",VLOOKUP('Proposal Form Tier 2-12'!$B$5,Tiers_list!$A:$BC,MATCH($A41,Tiers_list!$2:$2,0),FALSE)*L41*'Proposal Form Tier 2-12'!B$12,VLOOKUP('Proposal Form Tier 2-12'!$B$5,Tiers_list!$A:$BC,MATCH($A41,Tiers_list!$2:$2,0),FALSE)*'Proposal Form Tier 2-12'!B$12*L41/10)*(1-'Proposal Form Tier 2-12'!$B$16-'Proposal Form Tier 2-12'!$B$14)</f>
        <v>178.125</v>
      </c>
      <c r="L41" s="11">
        <f t="shared" ref="L41" si="7">SUM(M41:O41)</f>
        <v>1</v>
      </c>
      <c r="M41" s="60">
        <f>IF($I41&gt;0,'Proposal Form Tier 2-12'!$B$8,0)</f>
        <v>1</v>
      </c>
      <c r="N41" s="60">
        <f>IF($I41&gt;0,'Proposal Form Tier 2-12'!$B$9,0)</f>
        <v>0</v>
      </c>
      <c r="O41" s="60">
        <f>IF($I41&gt;0,'Proposal Form Tier 2-12'!$B$10,0)</f>
        <v>0</v>
      </c>
      <c r="P41" s="3">
        <f>+(J41/(1-'Proposal Form Tier 2-12'!$B$16-'Proposal Form Tier 2-12'!$B$14))+(K41/(1-'Proposal Form Tier 2-12'!$B$16-'Proposal Form Tier 2-12'!$B$14))</f>
        <v>712.5</v>
      </c>
    </row>
    <row r="42" spans="1:16" ht="101.25" outlineLevel="2" x14ac:dyDescent="0.25">
      <c r="A42" s="2" t="s">
        <v>75</v>
      </c>
      <c r="B42" s="10" t="s">
        <v>80</v>
      </c>
      <c r="C42" s="40" t="s">
        <v>116</v>
      </c>
      <c r="D42" s="13" t="str">
        <f>_xlfn.XLOOKUP(A42,Tiers_list!$2:$2,Tiers_list!$1:$1,,0)</f>
        <v>Duplicate Credential Read within ACS Ecosystem Supervision Module</v>
      </c>
      <c r="E42" s="10" t="str">
        <f>+'Detail_Proposal_tier 1'!E42</f>
        <v>Duplicate Credential Read within ACS Ecosystem Supervision Module</v>
      </c>
      <c r="F42" s="10" t="str">
        <f>+'Detail_Proposal_tier 1'!F42</f>
        <v>ACS Cloud Enterprise monitors for instances where the same credential is read at multiple entrances within the same site in a timeframe that makes simultaneous physical presence impossible, automatically flagging potential credential cloning, sharing, or misuse before it escalates into a security incident. When a duplicate pattern is detected, the system generates an alert and logs the event for investigation, giving security teams the real-time intelligence they need to identify and respond to credential abuse across their entire access control estate.</v>
      </c>
      <c r="G42" s="10" t="s">
        <v>161</v>
      </c>
      <c r="H42" s="2" t="s">
        <v>20</v>
      </c>
      <c r="I42" s="60">
        <f>+'Proposal Form Tier 2-12'!$B$6</f>
        <v>1</v>
      </c>
      <c r="J42" s="3">
        <f>IF('Proposal Form Tier 2-12'!$B$5&lt;&gt;"Tier  - 1 - 10",VLOOKUP('Proposal Form Tier 2-12'!$B$5,Tiers_list!$A:$BC,MATCH($A42,Tiers_list!$2:$2,0),FALSE)*I42,VLOOKUP('Proposal Form Tier 2-12'!$B$5,Tiers_list!$A:$BC,MATCH($A42,Tiers_list!$2:$2,0),FALSE)*I42/10)*(1-'Proposal Form Tier 2-12'!$B$16-'Proposal Form Tier 2-12'!$B$14)</f>
        <v>534.375</v>
      </c>
      <c r="K42" s="3">
        <f>IF('Proposal Form Tier 2-12'!$B$5&lt;&gt;"Tier  - 1 - 10",VLOOKUP('Proposal Form Tier 2-12'!$B$5,Tiers_list!$A:$BC,MATCH($A42,Tiers_list!$2:$2,0),FALSE)*L42*'Proposal Form Tier 2-12'!B$12,VLOOKUP('Proposal Form Tier 2-12'!$B$5,Tiers_list!$A:$BC,MATCH($A42,Tiers_list!$2:$2,0),FALSE)*'Proposal Form Tier 2-12'!B$12*L42/10)*(1-'Proposal Form Tier 2-12'!$B$16-'Proposal Form Tier 2-12'!$B$14)</f>
        <v>267.1875</v>
      </c>
      <c r="L42" s="11">
        <f t="shared" si="6"/>
        <v>1</v>
      </c>
      <c r="M42" s="60">
        <f>IF($I42&gt;0,'Proposal Form Tier 2-12'!$B$8,0)</f>
        <v>1</v>
      </c>
      <c r="N42" s="60">
        <f>IF($I42&gt;0,'Proposal Form Tier 2-12'!$B$9,0)</f>
        <v>0</v>
      </c>
      <c r="O42" s="60">
        <f>IF($I42&gt;0,'Proposal Form Tier 2-12'!$B$10,0)</f>
        <v>0</v>
      </c>
      <c r="P42" s="3">
        <f>+(J42/(1-'Proposal Form Tier 2-12'!$B$16-'Proposal Form Tier 2-12'!$B$14))+(K42/(1-'Proposal Form Tier 2-12'!$B$16-'Proposal Form Tier 2-12'!$B$14))</f>
        <v>1068.75</v>
      </c>
    </row>
    <row r="43" spans="1:16" ht="45" outlineLevel="1" x14ac:dyDescent="0.25">
      <c r="A43" s="9"/>
      <c r="B43" s="124"/>
      <c r="C43" s="15" t="s">
        <v>155</v>
      </c>
      <c r="D43" s="124"/>
      <c r="E43" s="124"/>
      <c r="F43" s="124"/>
      <c r="G43" s="124"/>
      <c r="H43" s="9"/>
      <c r="I43" s="125">
        <f t="shared" ref="I43:P43" si="8">SUBTOTAL(9,I35:I42)</f>
        <v>7</v>
      </c>
      <c r="J43" s="126">
        <f t="shared" si="8"/>
        <v>3384.375</v>
      </c>
      <c r="K43" s="126">
        <f t="shared" si="8"/>
        <v>1692.1875</v>
      </c>
      <c r="L43" s="127">
        <f t="shared" si="8"/>
        <v>7</v>
      </c>
      <c r="M43" s="125">
        <f t="shared" si="8"/>
        <v>7</v>
      </c>
      <c r="N43" s="125">
        <f t="shared" si="8"/>
        <v>0</v>
      </c>
      <c r="O43" s="125">
        <f t="shared" si="8"/>
        <v>0</v>
      </c>
      <c r="P43" s="126">
        <f t="shared" si="8"/>
        <v>6768.75</v>
      </c>
    </row>
    <row r="44" spans="1:16" s="4" customFormat="1" ht="101.25" outlineLevel="2" x14ac:dyDescent="0.25">
      <c r="A44" s="2" t="s">
        <v>76</v>
      </c>
      <c r="B44" s="10" t="s">
        <v>80</v>
      </c>
      <c r="C44" s="40" t="s">
        <v>120</v>
      </c>
      <c r="D44" s="13" t="str">
        <f>_xlfn.XLOOKUP(A44,Tiers_list!$2:$2,Tiers_list!$1:$1,,0)</f>
        <v>ACS Facility Supervision Module</v>
      </c>
      <c r="E44" s="10" t="str">
        <f>+'Detail_Proposal_tier 1'!E44</f>
        <v>Duplicate Credentials read at each location and the distance between locations where the Credential was read via Google Maps integration calculating and displaying distances between locations where the duplicate credentials were read.</v>
      </c>
      <c r="F44" s="10" t="str">
        <f>+'Detail_Proposal_tier 1'!F44</f>
        <v>ACS Cloud Enterprise detects when the same credential is used at geographically distant locations within a time window that makes legitimate travel between them physically implausible — a strong indicator of credential cloning or sharing — and immediately alerts the security team for investigation. By continuously analyzing credential events across the full site network and correlating them by distance and timing, organizations gain a powerful, automated early-warning capability that human operators monitoring individual sites could never replicate at scale.</v>
      </c>
      <c r="G44" s="10" t="s">
        <v>161</v>
      </c>
      <c r="H44" s="2" t="s">
        <v>20</v>
      </c>
      <c r="I44" s="60">
        <f>+'Proposal Form Tier 2-12'!$B$6</f>
        <v>1</v>
      </c>
      <c r="J44" s="3">
        <f>IF('Proposal Form Tier 2-12'!$B$5&lt;&gt;"Tier  - 1 - 10",VLOOKUP('Proposal Form Tier 2-12'!$B$5,Tiers_list!$A:$BC,MATCH($A44,Tiers_list!$2:$2,0),FALSE)*I44,VLOOKUP('Proposal Form Tier 2-12'!$B$5,Tiers_list!$A:$BC,MATCH($A44,Tiers_list!$2:$2,0),FALSE)*I44/10)*(1-'Proposal Form Tier 2-12'!$B$16-'Proposal Form Tier 2-12'!$B$14)</f>
        <v>356.25</v>
      </c>
      <c r="K44" s="3">
        <f>IF('Proposal Form Tier 2-12'!$B$5&lt;&gt;"Tier  - 1 - 10",VLOOKUP('Proposal Form Tier 2-12'!$B$5,Tiers_list!$A:$BC,MATCH($A44,Tiers_list!$2:$2,0),FALSE)*L44*'Proposal Form Tier 2-12'!B$12,VLOOKUP('Proposal Form Tier 2-12'!$B$5,Tiers_list!$A:$BC,MATCH($A44,Tiers_list!$2:$2,0),FALSE)*'Proposal Form Tier 2-12'!B$12*L44/10)*(1-'Proposal Form Tier 2-12'!$B$16-'Proposal Form Tier 2-12'!$B$14)</f>
        <v>178.125</v>
      </c>
      <c r="L44" s="11">
        <f t="shared" ref="L44:L55" si="9">SUM(M44:O44)</f>
        <v>1</v>
      </c>
      <c r="M44" s="60">
        <f>IF($I44&gt;0,'Proposal Form Tier 2-12'!$B$8,0)</f>
        <v>1</v>
      </c>
      <c r="N44" s="60">
        <f>IF($I44&gt;0,'Proposal Form Tier 2-12'!$B$9,0)</f>
        <v>0</v>
      </c>
      <c r="O44" s="60">
        <f>IF($I44&gt;0,'Proposal Form Tier 2-12'!$B$10,0)</f>
        <v>0</v>
      </c>
      <c r="P44" s="3">
        <f>+(J44/(1-'Proposal Form Tier 2-12'!$B$16-'Proposal Form Tier 2-12'!$B$14))+(K44/(1-'Proposal Form Tier 2-12'!$B$16-'Proposal Form Tier 2-12'!$B$14))</f>
        <v>712.5</v>
      </c>
    </row>
    <row r="45" spans="1:16" ht="101.25" outlineLevel="2" x14ac:dyDescent="0.25">
      <c r="A45" s="2" t="s">
        <v>77</v>
      </c>
      <c r="B45" s="10" t="s">
        <v>80</v>
      </c>
      <c r="C45" s="40" t="s">
        <v>120</v>
      </c>
      <c r="D45" s="13" t="str">
        <f>_xlfn.XLOOKUP(A45,Tiers_list!$2:$2,Tiers_list!$1:$1,,0)</f>
        <v>ACS Controller Software Integrations DB Ecosystem Supervision Module</v>
      </c>
      <c r="E45" s="10" t="str">
        <f>+'Detail_Proposal_tier 1'!E45</f>
        <v>Light Sensor monitoring, Presence, Loitering and Single Access Detection, Door Ajar, Door Unsecure and Door opening excessively and Customer Can't Enter or Exit a facility</v>
      </c>
      <c r="F45" s="10" t="str">
        <f>+'Detail_Proposal_tier 1'!F45</f>
        <v>ACS Cloud Enterprise monitors a rich set of facility sensor inputs — including light sensors, presence detection, loitering patterns, single-access violations, and door ajar conditions — turning raw hardware signals into actionable operational intelligence that security teams can act on in real time. Configurable thresholds, automated alerts, and event correlation with access control activity give operators a comprehensive picture of what is happening at every entrance and in every monitored space, enabling faster response to anomalies and stronger overall facility security posture.</v>
      </c>
      <c r="G45" s="10" t="s">
        <v>162</v>
      </c>
      <c r="H45" s="2" t="s">
        <v>20</v>
      </c>
      <c r="I45" s="52">
        <f>_xlfn.XLOOKUP($A45,'Proposal Form Tier 2-12'!$C:$C,'Proposal Form Tier 2-12'!$B:$B,0,0)</f>
        <v>0</v>
      </c>
      <c r="J45" s="3">
        <f>IF('Proposal Form Tier 2-12'!$B$5&lt;&gt;"Tier  - 1 - 10",VLOOKUP('Proposal Form Tier 2-12'!$B$5,Tiers_list!$A:$BC,MATCH($A45,Tiers_list!$2:$2,0),FALSE)*I45,VLOOKUP('Proposal Form Tier 2-12'!$B$5,Tiers_list!$A:$BC,MATCH($A45,Tiers_list!$2:$2,0),FALSE)*I45/10)*(1-'Proposal Form Tier 2-12'!$B$16-'Proposal Form Tier 2-12'!$B$14)</f>
        <v>0</v>
      </c>
      <c r="K45" s="3">
        <f>IF('Proposal Form Tier 2-12'!$B$5&lt;&gt;"Tier  - 1 - 10",VLOOKUP('Proposal Form Tier 2-12'!$B$5,Tiers_list!$A:$BC,MATCH($A45,Tiers_list!$2:$2,0),FALSE)*L45*'Proposal Form Tier 2-12'!B$12,VLOOKUP('Proposal Form Tier 2-12'!$B$5,Tiers_list!$A:$BC,MATCH($A45,Tiers_list!$2:$2,0),FALSE)*'Proposal Form Tier 2-12'!B$12*L45/10)*(1-'Proposal Form Tier 2-12'!$B$16-'Proposal Form Tier 2-12'!$B$14)</f>
        <v>0</v>
      </c>
      <c r="L45" s="11">
        <f t="shared" si="9"/>
        <v>0</v>
      </c>
      <c r="M45" s="52">
        <f>IF($I45&gt;0,'Proposal Form Tier 2-12'!$B$8,0)</f>
        <v>0</v>
      </c>
      <c r="N45" s="52">
        <f>IF($I45&gt;0,'Proposal Form Tier 2-12'!$B$9,0)</f>
        <v>0</v>
      </c>
      <c r="O45" s="52">
        <f>IF($I45&gt;0,'Proposal Form Tier 2-12'!$B$10,0)</f>
        <v>0</v>
      </c>
      <c r="P45" s="3">
        <f>+(J45/(1-'Proposal Form Tier 2-12'!$B$16-'Proposal Form Tier 2-12'!$B$14))+(K45/(1-'Proposal Form Tier 2-12'!$B$16-'Proposal Form Tier 2-12'!$B$14))</f>
        <v>0</v>
      </c>
    </row>
    <row r="46" spans="1:16" ht="101.25" outlineLevel="2" x14ac:dyDescent="0.25">
      <c r="A46" s="2" t="s">
        <v>78</v>
      </c>
      <c r="B46" s="10" t="s">
        <v>80</v>
      </c>
      <c r="C46" s="40" t="s">
        <v>120</v>
      </c>
      <c r="D46" s="13" t="str">
        <f>_xlfn.XLOOKUP(A46,Tiers_list!$2:$2,Tiers_list!$1:$1,,0)</f>
        <v>Reader Credentials Accepted and Rejected Supervision Module</v>
      </c>
      <c r="E46" s="10" t="str">
        <f>+'Detail_Proposal_tier 1'!E45</f>
        <v>Light Sensor monitoring, Presence, Loitering and Single Access Detection, Door Ajar, Door Unsecure and Door opening excessively and Customer Can't Enter or Exit a facility</v>
      </c>
      <c r="F46" s="10" t="str">
        <f>+'Detail_Proposal_tier 1'!F45</f>
        <v>ACS Cloud Enterprise monitors a rich set of facility sensor inputs — including light sensors, presence detection, loitering patterns, single-access violations, and door ajar conditions — turning raw hardware signals into actionable operational intelligence that security teams can act on in real time. Configurable thresholds, automated alerts, and event correlation with access control activity give operators a comprehensive picture of what is happening at every entrance and in every monitored space, enabling faster response to anomalies and stronger overall facility security posture.</v>
      </c>
      <c r="G46" s="10" t="s">
        <v>161</v>
      </c>
      <c r="H46" s="2" t="s">
        <v>20</v>
      </c>
      <c r="I46" s="60">
        <v>1</v>
      </c>
      <c r="J46" s="3">
        <f>IF('Proposal Form Tier 2-12'!$B$5&lt;&gt;"Tier  - 1 - 10",VLOOKUP('Proposal Form Tier 2-12'!$B$5,Tiers_list!$A:$BC,MATCH($A46,Tiers_list!$2:$2,0),FALSE)*I46,VLOOKUP('Proposal Form Tier 2-12'!$B$5,Tiers_list!$A:$BC,MATCH($A46,Tiers_list!$2:$2,0),FALSE)*I46/10)*(1-'Proposal Form Tier 2-12'!$B$16-'Proposal Form Tier 2-12'!$B$14)</f>
        <v>534.375</v>
      </c>
      <c r="K46" s="3">
        <f>IF('Proposal Form Tier 2-12'!$B$5&lt;&gt;"Tier  - 1 - 10",VLOOKUP('Proposal Form Tier 2-12'!$B$5,Tiers_list!$A:$BC,MATCH($A46,Tiers_list!$2:$2,0),FALSE)*L46*'Proposal Form Tier 2-12'!B$12,VLOOKUP('Proposal Form Tier 2-12'!$B$5,Tiers_list!$A:$BC,MATCH($A46,Tiers_list!$2:$2,0),FALSE)*'Proposal Form Tier 2-12'!B$12*L46/10)*(1-'Proposal Form Tier 2-12'!$B$16-'Proposal Form Tier 2-12'!$B$14)</f>
        <v>267.1875</v>
      </c>
      <c r="L46" s="11">
        <f t="shared" si="9"/>
        <v>1</v>
      </c>
      <c r="M46" s="60">
        <f>IF($I46&gt;0,'Proposal Form Tier 2-12'!$B$8,0)</f>
        <v>1</v>
      </c>
      <c r="N46" s="60">
        <f>IF($I46&gt;0,'Proposal Form Tier 2-12'!$B$9,0)</f>
        <v>0</v>
      </c>
      <c r="O46" s="60">
        <f>IF($I46&gt;0,'Proposal Form Tier 2-12'!$B$10,0)</f>
        <v>0</v>
      </c>
      <c r="P46" s="3">
        <f>+(J46/(1-'Proposal Form Tier 2-12'!$B$16-'Proposal Form Tier 2-12'!$B$14))+(K46/(1-'Proposal Form Tier 2-12'!$B$16-'Proposal Form Tier 2-12'!$B$14))</f>
        <v>1068.75</v>
      </c>
    </row>
    <row r="47" spans="1:16" ht="101.25" outlineLevel="2" x14ac:dyDescent="0.25">
      <c r="A47" s="2" t="str">
        <f>+'Detail_Proposal_tier 1'!A47</f>
        <v>200-50071</v>
      </c>
      <c r="B47" s="10" t="str">
        <f>+'Detail_Proposal_tier 1'!B47</f>
        <v>ACS Enterprise Integrations</v>
      </c>
      <c r="C47" s="40" t="str">
        <f>+'Detail_Proposal_tier 1'!C47</f>
        <v xml:space="preserve">Annual ACS Cloud Enterprise Ecosystem, Hardware, Facility Sensors, Reader Monitoring UI features </v>
      </c>
      <c r="D47" s="13" t="str">
        <f>+'Detail_Proposal_tier 1'!D47</f>
        <v>ACS controller Reader Remote Credential Lookup with Local learn Module</v>
      </c>
      <c r="E47" s="10" t="str">
        <f>+'Detail_Proposal_tier 1'!E47</f>
        <v>Remote lookup of Accepted, Rejected and Suspect Credentials stored on the ACS controller EEPROM with an until date/time for future local Credential lookups.</v>
      </c>
      <c r="F47" s="10" t="str">
        <f>+'Detail_Proposal_tier 1'!F47</f>
        <v>When a credential is presented at a reader configured for external match validation, ACS Cloud Enterprise forwards the request to a designated external server in real time, retrieves the allow or reject decision, and acts on it immediately — with the response cached at the controller to maintain performance even during brief connectivity interruptions. This enables organizations to maintain centralized, organization-wide credential authority in an external system (such as a financial institution's BIN database) while still leveraging the speed and resilience of local controller enforcement.</v>
      </c>
      <c r="G47" s="10" t="str">
        <f>+'Detail_Proposal_tier 1'!G47</f>
        <v>Optional</v>
      </c>
      <c r="H47" s="2" t="s">
        <v>20</v>
      </c>
      <c r="I47" s="52">
        <f>_xlfn.XLOOKUP($A47,'Proposal Form Tier 2-12'!$C:$C,'Proposal Form Tier 2-12'!$B:$B,0,0)</f>
        <v>0</v>
      </c>
      <c r="J47" s="3">
        <f>IF('Proposal Form Tier 2-12'!$B$5&lt;&gt;"Tier  - 1 - 10",VLOOKUP('Proposal Form Tier 2-12'!$B$5,Tiers_list!$A:$BC,MATCH($A47,Tiers_list!$2:$2,0),FALSE)*I47,VLOOKUP('Proposal Form Tier 2-12'!$B$5,Tiers_list!$A:$BC,MATCH($A47,Tiers_list!$2:$2,0),FALSE)*I47/10)*(1-'Proposal Form Tier 2-12'!$B$16-'Proposal Form Tier 2-12'!$B$14)</f>
        <v>0</v>
      </c>
      <c r="K47" s="3">
        <f>IF('Proposal Form Tier 2-12'!$B$5&lt;&gt;"Tier  - 1 - 10",VLOOKUP('Proposal Form Tier 2-12'!$B$5,Tiers_list!$A:$BC,MATCH($A47,Tiers_list!$2:$2,0),FALSE)*L47*'Proposal Form Tier 2-12'!B$12,VLOOKUP('Proposal Form Tier 2-12'!$B$5,Tiers_list!$A:$BC,MATCH($A47,Tiers_list!$2:$2,0),FALSE)*'Proposal Form Tier 2-12'!B$12*L47/10)*(1-'Proposal Form Tier 2-12'!$B$16-'Proposal Form Tier 2-12'!$B$14)</f>
        <v>0</v>
      </c>
      <c r="L47" s="11">
        <f t="shared" si="9"/>
        <v>0</v>
      </c>
      <c r="M47" s="52">
        <f>IF($I47&gt;0,'Proposal Form Tier 2-12'!$B$8,0)</f>
        <v>0</v>
      </c>
      <c r="N47" s="52">
        <f>IF($I47&gt;0,'Proposal Form Tier 2-12'!$B$9,0)</f>
        <v>0</v>
      </c>
      <c r="O47" s="52">
        <f>IF($I47&gt;0,'Proposal Form Tier 2-12'!$B$10,0)</f>
        <v>0</v>
      </c>
      <c r="P47" s="3">
        <f>+(J47/(1-'Proposal Form Tier 2-12'!$B$16-'Proposal Form Tier 2-12'!$B$14))+(K47/(1-'Proposal Form Tier 2-12'!$B$16-'Proposal Form Tier 2-12'!$B$14))</f>
        <v>0</v>
      </c>
    </row>
    <row r="48" spans="1:16" ht="101.25" outlineLevel="2" x14ac:dyDescent="0.25">
      <c r="A48" s="2" t="str">
        <f>+'Detail_Proposal_tier 1'!A48</f>
        <v>200-50072</v>
      </c>
      <c r="B48" s="10" t="str">
        <f>+'Detail_Proposal_tier 1'!B48</f>
        <v>ACS Enterprise Integrations</v>
      </c>
      <c r="C48" s="40" t="str">
        <f>+'Detail_Proposal_tier 1'!C48</f>
        <v xml:space="preserve">Annual ACS Cloud Enterprise Ecosystem, Hardware, Facility Sensors, Reader Monitoring UI features </v>
      </c>
      <c r="D48" s="13" t="str">
        <f>+'Detail_Proposal_tier 1'!D48</f>
        <v>ACS controller Reader Remote Credential Lookup with Local learn Module</v>
      </c>
      <c r="E48" s="10" t="str">
        <f>+'Detail_Proposal_tier 1'!E48</f>
        <v>Configure reader type, access by Credential holder and by Access Schedule.  i.e., HID, Wave Lynx, Elactec, etc.  Prox and/or keypad reader, Bio Reader, Wearable Tech NFC, Mobile with NFC card, Bluetooth Local with Bluetooth Cloud, etc.</v>
      </c>
      <c r="F48" s="10" t="str">
        <f>+'Detail_Proposal_tier 1'!F48</f>
        <v>Operators can configure every reader in the system — defining the credential types accepted (magnetic stripe, NFC, Bluetooth, biometric, and more), assigning the appropriate access schedules, and linking readers to specific user groups — all from a centralized interface without a site visit. This ensures that every entrance behaves exactly as intended, that the right people have access at the right times, and that configuration changes are applied instantly and consistently across all locations.</v>
      </c>
      <c r="G48" s="10" t="str">
        <f>+'Detail_Proposal_tier 1'!G48</f>
        <v>Optional</v>
      </c>
      <c r="H48" s="2" t="s">
        <v>20</v>
      </c>
      <c r="I48" s="52">
        <f>_xlfn.XLOOKUP($A48,'Proposal Form Tier 2-12'!$C:$C,'Proposal Form Tier 2-12'!$B:$B,0,0)</f>
        <v>0</v>
      </c>
      <c r="J48" s="3">
        <f>IF('Proposal Form Tier 2-12'!$B$5&lt;&gt;"Tier  - 1 - 10",VLOOKUP('Proposal Form Tier 2-12'!$B$5,Tiers_list!$A:$BC,MATCH($A48,Tiers_list!$2:$2,0),FALSE)*I48,VLOOKUP('Proposal Form Tier 2-12'!$B$5,Tiers_list!$A:$BC,MATCH($A48,Tiers_list!$2:$2,0),FALSE)*I48/10)*(1-'Proposal Form Tier 2-12'!$B$16-'Proposal Form Tier 2-12'!$B$14)</f>
        <v>0</v>
      </c>
      <c r="K48" s="3">
        <f>IF('Proposal Form Tier 2-12'!$B$5&lt;&gt;"Tier  - 1 - 10",VLOOKUP('Proposal Form Tier 2-12'!$B$5,Tiers_list!$A:$BC,MATCH($A48,Tiers_list!$2:$2,0),FALSE)*L48*'Proposal Form Tier 2-12'!B$12,VLOOKUP('Proposal Form Tier 2-12'!$B$5,Tiers_list!$A:$BC,MATCH($A48,Tiers_list!$2:$2,0),FALSE)*'Proposal Form Tier 2-12'!B$12*L48/10)*(1-'Proposal Form Tier 2-12'!$B$16-'Proposal Form Tier 2-12'!$B$14)</f>
        <v>0</v>
      </c>
      <c r="L48" s="11">
        <f t="shared" si="9"/>
        <v>0</v>
      </c>
      <c r="M48" s="52">
        <f>IF($I48&gt;0,'Proposal Form Tier 2-12'!$B$8,0)</f>
        <v>0</v>
      </c>
      <c r="N48" s="52">
        <f>IF($I48&gt;0,'Proposal Form Tier 2-12'!$B$9,0)</f>
        <v>0</v>
      </c>
      <c r="O48" s="52">
        <f>IF($I48&gt;0,'Proposal Form Tier 2-12'!$B$10,0)</f>
        <v>0</v>
      </c>
      <c r="P48" s="3">
        <f>+(J48/(1-'Proposal Form Tier 2-12'!$B$16-'Proposal Form Tier 2-12'!$B$14))+(K48/(1-'Proposal Form Tier 2-12'!$B$16-'Proposal Form Tier 2-12'!$B$14))</f>
        <v>0</v>
      </c>
    </row>
    <row r="49" spans="1:16" ht="101.25" outlineLevel="2" x14ac:dyDescent="0.25">
      <c r="A49" s="2" t="str">
        <f>+'Detail_Proposal_tier 1'!A49</f>
        <v>200-50073</v>
      </c>
      <c r="B49" s="10" t="str">
        <f>+'Detail_Proposal_tier 1'!B49</f>
        <v>ACS Enterprise Integrations</v>
      </c>
      <c r="C49" s="40" t="str">
        <f>+'Detail_Proposal_tier 1'!C49</f>
        <v xml:space="preserve">Annual ACS Cloud Enterprise Ecosystem, Hardware, Facility Sensors, Reader Monitoring UI features </v>
      </c>
      <c r="D49" s="13" t="str">
        <f>+'Detail_Proposal_tier 1'!D49</f>
        <v>Export &amp; Reporting</v>
      </c>
      <c r="E49" s="10" t="str">
        <f>+'Detail_Proposal_tier 1'!E49</f>
        <v>Adds an Export action to data grids across the Site, Access Point, Login, and Log modules — Sites, Site Tags, Suspect Files, Match Files, User Management, Authorization Resources, Audit Logs, System Logs, Infrastructure Logs, Device Messages, Credential Events, Device Diagnostics Logs, and Service Diagnostics — producing a structured file of the currently displayed dataset.</v>
      </c>
      <c r="F49" s="10" t="str">
        <f>+'Detail_Proposal_tier 1'!F49</f>
        <v>ACS Cloud Enterprise lets operators download any data grid in the system to a structured file for offline review, compliance reporting, or long-term archiving, without needing direct database access or a separate reporting tool. This turns every grid in the platform into a self-service reporting source, reducing the time security and compliance teams spend assembling audit packages or sharing data with auditors and regulators.</v>
      </c>
      <c r="G49" s="10" t="str">
        <f>+'Detail_Proposal_tier 1'!G49</f>
        <v>Optional</v>
      </c>
      <c r="H49" s="2" t="s">
        <v>20</v>
      </c>
      <c r="I49" s="52">
        <f>_xlfn.XLOOKUP($A49,'Proposal Form Tier 2-12'!$C:$C,'Proposal Form Tier 2-12'!$B:$B,0,0)</f>
        <v>0</v>
      </c>
      <c r="J49" s="3">
        <f>IF('Proposal Form Tier 2-12'!$B$5&lt;&gt;"Tier  - 1 - 10",VLOOKUP('Proposal Form Tier 2-12'!$B$5,Tiers_list!$A:$BC,MATCH($A49,Tiers_list!$2:$2,0),FALSE)*I49,VLOOKUP('Proposal Form Tier 2-12'!$B$5,Tiers_list!$A:$BC,MATCH($A49,Tiers_list!$2:$2,0),FALSE)*I49/10)*(1-'Proposal Form Tier 2-12'!$B$16-'Proposal Form Tier 2-12'!$B$14)</f>
        <v>0</v>
      </c>
      <c r="K49" s="3">
        <f>IF('Proposal Form Tier 2-12'!$B$5&lt;&gt;"Tier  - 1 - 10",VLOOKUP('Proposal Form Tier 2-12'!$B$5,Tiers_list!$A:$BC,MATCH($A49,Tiers_list!$2:$2,0),FALSE)*L49*'Proposal Form Tier 2-12'!B$12,VLOOKUP('Proposal Form Tier 2-12'!$B$5,Tiers_list!$A:$BC,MATCH($A49,Tiers_list!$2:$2,0),FALSE)*'Proposal Form Tier 2-12'!B$12*L49/10)*(1-'Proposal Form Tier 2-12'!$B$16-'Proposal Form Tier 2-12'!$B$14)</f>
        <v>0</v>
      </c>
      <c r="L49" s="11">
        <f t="shared" si="9"/>
        <v>0</v>
      </c>
      <c r="M49" s="52">
        <f>IF($I49&gt;0,'Proposal Form Tier 2-12'!$B$8,0)</f>
        <v>0</v>
      </c>
      <c r="N49" s="52">
        <f>IF($I49&gt;0,'Proposal Form Tier 2-12'!$B$9,0)</f>
        <v>0</v>
      </c>
      <c r="O49" s="52">
        <f>IF($I49&gt;0,'Proposal Form Tier 2-12'!$B$10,0)</f>
        <v>0</v>
      </c>
      <c r="P49" s="3">
        <f>+(J49/(1-'Proposal Form Tier 2-12'!$B$16-'Proposal Form Tier 2-12'!$B$14))+(K49/(1-'Proposal Form Tier 2-12'!$B$16-'Proposal Form Tier 2-12'!$B$14))</f>
        <v>0</v>
      </c>
    </row>
    <row r="50" spans="1:16" ht="101.25" outlineLevel="2" x14ac:dyDescent="0.25">
      <c r="A50" s="2" t="str">
        <f>+'Detail_Proposal_tier 1'!A50</f>
        <v>200-50074</v>
      </c>
      <c r="B50" s="10" t="str">
        <f>+'Detail_Proposal_tier 1'!B50</f>
        <v>ACS Enterprise Integrations</v>
      </c>
      <c r="C50" s="40" t="str">
        <f>+'Detail_Proposal_tier 1'!C50</f>
        <v xml:space="preserve">Annual ACS Cloud Enterprise Ecosystem, Hardware, Facility Sensors, Reader Monitoring UI features </v>
      </c>
      <c r="D50" s="13" t="str">
        <f>+'Detail_Proposal_tier 1'!D50</f>
        <v>Bulk Synchronisation ans Scheduling</v>
      </c>
      <c r="E50" s="10" t="str">
        <f>+'Detail_Proposal_tier 1'!E50</f>
        <v>Adds a Schedule Sync action to Access Point Mgmt configuration grids — Access Point Configuration, Match Configuration, Match File, Suspect File, AP IO Configuration, Controller IO Configuration, Weekly Schedule Management, Holiday Schedule Management, and Controller config-mismatch jobs — allowing a configuration push to be queued and applied automatically at a defined date/time rather than immediately.</v>
      </c>
      <c r="F50" s="10" t="str">
        <f>+'Detail_Proposal_tier 1'!F50</f>
        <v>ACS Cloud Enterprise lets operators schedule configuration pushes to groups of devices for a future date and time instead of applying every change manually and immediately. This allows large rollouts — new schedules, credential lists, or controller settings — to be staged during a maintenance window and propagate automatically across many sites without an operator present at the time of the sync.</v>
      </c>
      <c r="G50" s="10" t="str">
        <f>+'Detail_Proposal_tier 1'!G50</f>
        <v>Optional</v>
      </c>
      <c r="H50" s="2" t="s">
        <v>20</v>
      </c>
      <c r="I50" s="52">
        <f>_xlfn.XLOOKUP($A50,'Proposal Form Tier 2-12'!$C:$C,'Proposal Form Tier 2-12'!$B:$B,0,0)</f>
        <v>0</v>
      </c>
      <c r="J50" s="3">
        <f>IF('Proposal Form Tier 2-12'!$B$5&lt;&gt;"Tier  - 1 - 10",VLOOKUP('Proposal Form Tier 2-12'!$B$5,Tiers_list!$A:$BC,MATCH($A50,Tiers_list!$2:$2,0),FALSE)*I50,VLOOKUP('Proposal Form Tier 2-12'!$B$5,Tiers_list!$A:$BC,MATCH($A50,Tiers_list!$2:$2,0),FALSE)*I50/10)*(1-'Proposal Form Tier 2-12'!$B$16-'Proposal Form Tier 2-12'!$B$14)</f>
        <v>0</v>
      </c>
      <c r="K50" s="3">
        <f>IF('Proposal Form Tier 2-12'!$B$5&lt;&gt;"Tier  - 1 - 10",VLOOKUP('Proposal Form Tier 2-12'!$B$5,Tiers_list!$A:$BC,MATCH($A50,Tiers_list!$2:$2,0),FALSE)*L50*'Proposal Form Tier 2-12'!B$12,VLOOKUP('Proposal Form Tier 2-12'!$B$5,Tiers_list!$A:$BC,MATCH($A50,Tiers_list!$2:$2,0),FALSE)*'Proposal Form Tier 2-12'!B$12*L50/10)*(1-'Proposal Form Tier 2-12'!$B$16-'Proposal Form Tier 2-12'!$B$14)</f>
        <v>0</v>
      </c>
      <c r="L50" s="11">
        <f t="shared" si="9"/>
        <v>0</v>
      </c>
      <c r="M50" s="52">
        <f>IF($I50&gt;0,'Proposal Form Tier 2-12'!$B$8,0)</f>
        <v>0</v>
      </c>
      <c r="N50" s="52">
        <f>IF($I50&gt;0,'Proposal Form Tier 2-12'!$B$9,0)</f>
        <v>0</v>
      </c>
      <c r="O50" s="52">
        <f>IF($I50&gt;0,'Proposal Form Tier 2-12'!$B$10,0)</f>
        <v>0</v>
      </c>
      <c r="P50" s="3">
        <f>+(J50/(1-'Proposal Form Tier 2-12'!$B$16-'Proposal Form Tier 2-12'!$B$14))+(K50/(1-'Proposal Form Tier 2-12'!$B$16-'Proposal Form Tier 2-12'!$B$14))</f>
        <v>0</v>
      </c>
    </row>
    <row r="51" spans="1:16" ht="101.25" outlineLevel="2" x14ac:dyDescent="0.25">
      <c r="A51" s="2" t="str">
        <f>+'Detail_Proposal_tier 1'!A51</f>
        <v>200-50075</v>
      </c>
      <c r="B51" s="10" t="str">
        <f>+'Detail_Proposal_tier 1'!B51</f>
        <v>ACS Enterprise Integrations</v>
      </c>
      <c r="C51" s="40" t="str">
        <f>+'Detail_Proposal_tier 1'!C51</f>
        <v xml:space="preserve">Annual ACS Cloud Enterprise Ecosystem, Hardware, Facility Sensors, Reader Monitoring UI features </v>
      </c>
      <c r="D51" s="13" t="str">
        <f>+'Detail_Proposal_tier 1'!D51</f>
        <v>Clone &amp; Templates</v>
      </c>
      <c r="E51" s="10" t="str">
        <f>+'Detail_Proposal_tier 1'!E51</f>
        <v>Adds a Clone action to Access Point Mgmt and Login Mgmt configuration entities — Match Configuration, Match File, AP IO Configuration, Controller IO Configuration, Weekly Schedule Management, Holiday Schedule Management, and Authorization Resources — creating a duplicate of an existing configuration record that can be assigned to a new site, controller, or user as a starting point.</v>
      </c>
      <c r="F51" s="10" t="str">
        <f>+'Detail_Proposal_tier 1'!F51</f>
        <v>ACS Cloud Enterprise lets operators copy an existing, already-tested configuration as a template instead of building every new site, controller, or access profile from scratch. This shortens rollout time for multi-site deployments and reduces configuration drift, since new entities start from a known-good baseline rather than manual re-entry.</v>
      </c>
      <c r="G51" s="10" t="str">
        <f>+'Detail_Proposal_tier 1'!G51</f>
        <v>Optional</v>
      </c>
      <c r="H51" s="2" t="s">
        <v>20</v>
      </c>
      <c r="I51" s="52">
        <f>_xlfn.XLOOKUP($A51,'Proposal Form Tier 2-12'!$C:$C,'Proposal Form Tier 2-12'!$B:$B,0,0)</f>
        <v>0</v>
      </c>
      <c r="J51" s="3">
        <f>IF('Proposal Form Tier 2-12'!$B$5&lt;&gt;"Tier  - 1 - 10",VLOOKUP('Proposal Form Tier 2-12'!$B$5,Tiers_list!$A:$BC,MATCH($A51,Tiers_list!$2:$2,0),FALSE)*I51,VLOOKUP('Proposal Form Tier 2-12'!$B$5,Tiers_list!$A:$BC,MATCH($A51,Tiers_list!$2:$2,0),FALSE)*I51/10)*(1-'Proposal Form Tier 2-12'!$B$16-'Proposal Form Tier 2-12'!$B$14)</f>
        <v>0</v>
      </c>
      <c r="K51" s="3">
        <f>IF('Proposal Form Tier 2-12'!$B$5&lt;&gt;"Tier  - 1 - 10",VLOOKUP('Proposal Form Tier 2-12'!$B$5,Tiers_list!$A:$BC,MATCH($A51,Tiers_list!$2:$2,0),FALSE)*L51*'Proposal Form Tier 2-12'!B$12,VLOOKUP('Proposal Form Tier 2-12'!$B$5,Tiers_list!$A:$BC,MATCH($A51,Tiers_list!$2:$2,0),FALSE)*'Proposal Form Tier 2-12'!B$12*L51/10)*(1-'Proposal Form Tier 2-12'!$B$16-'Proposal Form Tier 2-12'!$B$14)</f>
        <v>0</v>
      </c>
      <c r="L51" s="11">
        <f t="shared" si="9"/>
        <v>0</v>
      </c>
      <c r="M51" s="52">
        <f>IF($I51&gt;0,'Proposal Form Tier 2-12'!$B$8,0)</f>
        <v>0</v>
      </c>
      <c r="N51" s="52">
        <f>IF($I51&gt;0,'Proposal Form Tier 2-12'!$B$9,0)</f>
        <v>0</v>
      </c>
      <c r="O51" s="52">
        <f>IF($I51&gt;0,'Proposal Form Tier 2-12'!$B$10,0)</f>
        <v>0</v>
      </c>
      <c r="P51" s="3">
        <f>+(J51/(1-'Proposal Form Tier 2-12'!$B$16-'Proposal Form Tier 2-12'!$B$14))+(K51/(1-'Proposal Form Tier 2-12'!$B$16-'Proposal Form Tier 2-12'!$B$14))</f>
        <v>0</v>
      </c>
    </row>
    <row r="52" spans="1:16" ht="101.25" outlineLevel="2" x14ac:dyDescent="0.25">
      <c r="A52" s="2" t="str">
        <f>+'Detail_Proposal_tier 1'!A52</f>
        <v>200-50076</v>
      </c>
      <c r="B52" s="10" t="str">
        <f>+'Detail_Proposal_tier 1'!B52</f>
        <v>ACS Enterprise Integrations</v>
      </c>
      <c r="C52" s="40" t="str">
        <f>+'Detail_Proposal_tier 1'!C52</f>
        <v xml:space="preserve">Annual ACS Cloud Enterprise Ecosystem, Hardware, Facility Sensors, Reader Monitoring UI features </v>
      </c>
      <c r="D52" s="13" t="str">
        <f>+'Detail_Proposal_tier 1'!D52</f>
        <v>Merge Operations</v>
      </c>
      <c r="E52" s="10" t="str">
        <f>+'Detail_Proposal_tier 1'!E52</f>
        <v>Adds a Merge action to the Access Point Mgmt Match File grid, combining two or more existing match files into a single consolidated file rather than requiring operators to manage them separately.</v>
      </c>
      <c r="F52" s="10" t="str">
        <f>+'Detail_Proposal_tier 1'!F52</f>
        <v>ACS Cloud Enterprise lets operators consolidate multiple match file datasets — for example, lists built independently at different sites — into one unified file for centralized credential management. This removes the manual reconciliation work of comparing and merging credential lists by hand, reducing the risk of duplicate or conflicting entries across sites.</v>
      </c>
      <c r="G52" s="10" t="str">
        <f>+'Detail_Proposal_tier 1'!G52</f>
        <v>Optional</v>
      </c>
      <c r="H52" s="2" t="s">
        <v>20</v>
      </c>
      <c r="I52" s="52">
        <f>_xlfn.XLOOKUP($A52,'Proposal Form Tier 2-12'!$C:$C,'Proposal Form Tier 2-12'!$B:$B,0,0)</f>
        <v>0</v>
      </c>
      <c r="J52" s="3">
        <f>IF('Proposal Form Tier 2-12'!$B$5&lt;&gt;"Tier  - 1 - 10",VLOOKUP('Proposal Form Tier 2-12'!$B$5,Tiers_list!$A:$BC,MATCH($A52,Tiers_list!$2:$2,0),FALSE)*I52,VLOOKUP('Proposal Form Tier 2-12'!$B$5,Tiers_list!$A:$BC,MATCH($A52,Tiers_list!$2:$2,0),FALSE)*I52/10)*(1-'Proposal Form Tier 2-12'!$B$16-'Proposal Form Tier 2-12'!$B$14)</f>
        <v>0</v>
      </c>
      <c r="K52" s="3">
        <f>IF('Proposal Form Tier 2-12'!$B$5&lt;&gt;"Tier  - 1 - 10",VLOOKUP('Proposal Form Tier 2-12'!$B$5,Tiers_list!$A:$BC,MATCH($A52,Tiers_list!$2:$2,0),FALSE)*L52*'Proposal Form Tier 2-12'!B$12,VLOOKUP('Proposal Form Tier 2-12'!$B$5,Tiers_list!$A:$BC,MATCH($A52,Tiers_list!$2:$2,0),FALSE)*'Proposal Form Tier 2-12'!B$12*L52/10)*(1-'Proposal Form Tier 2-12'!$B$16-'Proposal Form Tier 2-12'!$B$14)</f>
        <v>0</v>
      </c>
      <c r="L52" s="11">
        <f t="shared" si="9"/>
        <v>0</v>
      </c>
      <c r="M52" s="52">
        <f>IF($I52&gt;0,'Proposal Form Tier 2-12'!$B$8,0)</f>
        <v>0</v>
      </c>
      <c r="N52" s="52">
        <f>IF($I52&gt;0,'Proposal Form Tier 2-12'!$B$9,0)</f>
        <v>0</v>
      </c>
      <c r="O52" s="52">
        <f>IF($I52&gt;0,'Proposal Form Tier 2-12'!$B$10,0)</f>
        <v>0</v>
      </c>
      <c r="P52" s="3">
        <f>+(J52/(1-'Proposal Form Tier 2-12'!$B$16-'Proposal Form Tier 2-12'!$B$14))+(K52/(1-'Proposal Form Tier 2-12'!$B$16-'Proposal Form Tier 2-12'!$B$14))</f>
        <v>0</v>
      </c>
    </row>
    <row r="53" spans="1:16" ht="101.25" outlineLevel="2" x14ac:dyDescent="0.25">
      <c r="A53" s="2" t="str">
        <f>+'Detail_Proposal_tier 1'!A53</f>
        <v>200-50077</v>
      </c>
      <c r="B53" s="10" t="str">
        <f>+'Detail_Proposal_tier 1'!B53</f>
        <v>ACS Enterprise Integrations</v>
      </c>
      <c r="C53" s="40" t="str">
        <f>+'Detail_Proposal_tier 1'!C53</f>
        <v xml:space="preserve">Annual ACS Cloud Enterprise Ecosystem, Hardware, Facility Sensors, Reader Monitoring UI features </v>
      </c>
      <c r="D53" s="13" t="str">
        <f>+'Detail_Proposal_tier 1'!D53</f>
        <v>Advanced User Management</v>
      </c>
      <c r="E53" s="10" t="str">
        <f>+'Detail_Proposal_tier 1'!E53</f>
        <v>Adds a Bulk Assign action to Authorization Resources, allowing an access profile to be applied to multiple users in a single operation, plus a View Profile Permissions screen that lists the full set of resource permissions granted to any role.</v>
      </c>
      <c r="F53" s="10" t="str">
        <f>+'Detail_Proposal_tier 1'!F53</f>
        <v>ACS Cloud Enterprise lets administrators assign an access profile to many users at once instead of updating permissions one user at a time, and inspect exactly what any given role can see or do across the system. This speeds up onboarding for large teams and gives administrators a clear, auditable view of permission scope when responding to access reviews or compliance questions.</v>
      </c>
      <c r="G53" s="10" t="str">
        <f>+'Detail_Proposal_tier 1'!G53</f>
        <v>Optional</v>
      </c>
      <c r="H53" s="2" t="s">
        <v>20</v>
      </c>
      <c r="I53" s="52">
        <f>_xlfn.XLOOKUP($A53,'Proposal Form Tier 2-12'!$C:$C,'Proposal Form Tier 2-12'!$B:$B,0,0)</f>
        <v>0</v>
      </c>
      <c r="J53" s="3">
        <f>IF('Proposal Form Tier 2-12'!$B$5&lt;&gt;"Tier  - 1 - 10",VLOOKUP('Proposal Form Tier 2-12'!$B$5,Tiers_list!$A:$BC,MATCH($A53,Tiers_list!$2:$2,0),FALSE)*I53,VLOOKUP('Proposal Form Tier 2-12'!$B$5,Tiers_list!$A:$BC,MATCH($A53,Tiers_list!$2:$2,0),FALSE)*I53/10)*(1-'Proposal Form Tier 2-12'!$B$16-'Proposal Form Tier 2-12'!$B$14)</f>
        <v>0</v>
      </c>
      <c r="K53" s="3">
        <f>IF('Proposal Form Tier 2-12'!$B$5&lt;&gt;"Tier  - 1 - 10",VLOOKUP('Proposal Form Tier 2-12'!$B$5,Tiers_list!$A:$BC,MATCH($A53,Tiers_list!$2:$2,0),FALSE)*L53*'Proposal Form Tier 2-12'!B$12,VLOOKUP('Proposal Form Tier 2-12'!$B$5,Tiers_list!$A:$BC,MATCH($A53,Tiers_list!$2:$2,0),FALSE)*'Proposal Form Tier 2-12'!B$12*L53/10)*(1-'Proposal Form Tier 2-12'!$B$16-'Proposal Form Tier 2-12'!$B$14)</f>
        <v>0</v>
      </c>
      <c r="L53" s="11">
        <f t="shared" si="9"/>
        <v>0</v>
      </c>
      <c r="M53" s="52">
        <f>IF($I53&gt;0,'Proposal Form Tier 2-12'!$B$8,0)</f>
        <v>0</v>
      </c>
      <c r="N53" s="52">
        <f>IF($I53&gt;0,'Proposal Form Tier 2-12'!$B$9,0)</f>
        <v>0</v>
      </c>
      <c r="O53" s="52">
        <f>IF($I53&gt;0,'Proposal Form Tier 2-12'!$B$10,0)</f>
        <v>0</v>
      </c>
      <c r="P53" s="3">
        <f>+(J53/(1-'Proposal Form Tier 2-12'!$B$16-'Proposal Form Tier 2-12'!$B$14))+(K53/(1-'Proposal Form Tier 2-12'!$B$16-'Proposal Form Tier 2-12'!$B$14))</f>
        <v>0</v>
      </c>
    </row>
    <row r="54" spans="1:16" ht="45" outlineLevel="2" x14ac:dyDescent="0.25">
      <c r="A54" s="2" t="str">
        <f>+'Detail_Proposal_tier 1'!A54</f>
        <v>200-50078</v>
      </c>
      <c r="B54" s="10" t="str">
        <f>+'Detail_Proposal_tier 1'!B54</f>
        <v>ACS Enterprise Integrations</v>
      </c>
      <c r="C54" s="40" t="str">
        <f>+'Detail_Proposal_tier 1'!C54</f>
        <v xml:space="preserve">Annual ACS Cloud Enterprise Ecosystem, Hardware, Facility Sensors, Reader Monitoring UI features </v>
      </c>
      <c r="D54" s="13" t="str">
        <f>+'Detail_Proposal_tier 1'!D54</f>
        <v>Advanced Log Filtering</v>
      </c>
      <c r="E54" s="10" t="str">
        <f>+'Detail_Proposal_tier 1'!E54</f>
        <v>Adds a Filter action to every Log Mgmt grid — Audit Logs, System Logs, Infrastructure Logs, Device Messages, Credential Events, Device Diagnostics Logs, and Service Diagnostics — enabling operators to narrow large result sets by field-level criteria such as date range, device, user, or event type.</v>
      </c>
      <c r="F54" s="10" t="str">
        <f>+'Detail_Proposal_tier 1'!F54</f>
        <v>ACS Cloud Enterprise lets operators apply granular filters to log and event grids to pinpoint specific records across datasets that can span millions of rows, instead of scrolling through unfiltered results. This significantly reduces the time spent during incident investigations, audits, and troubleshooting, where finding the relevant handful of events quickly is critical.</v>
      </c>
      <c r="G54" s="10" t="s">
        <v>161</v>
      </c>
      <c r="H54" s="2" t="s">
        <v>20</v>
      </c>
      <c r="I54" s="52">
        <f>_xlfn.XLOOKUP($A54,'Proposal Form Tier 2-12'!$C:$C,'Proposal Form Tier 2-12'!$B:$B,0,0)</f>
        <v>0</v>
      </c>
      <c r="J54" s="3">
        <f>IF('Proposal Form Tier 2-12'!$B$5&lt;&gt;"Tier  - 1 - 10",VLOOKUP('Proposal Form Tier 2-12'!$B$5,Tiers_list!$A:$BC,MATCH($A54,Tiers_list!$2:$2,0),FALSE)*I54,VLOOKUP('Proposal Form Tier 2-12'!$B$5,Tiers_list!$A:$BC,MATCH($A54,Tiers_list!$2:$2,0),FALSE)*I54/10)*(1-'Proposal Form Tier 2-12'!$B$16-'Proposal Form Tier 2-12'!$B$14)</f>
        <v>0</v>
      </c>
      <c r="K54" s="3">
        <f>IF('Proposal Form Tier 2-12'!$B$5&lt;&gt;"Tier  - 1 - 10",VLOOKUP('Proposal Form Tier 2-12'!$B$5,Tiers_list!$A:$BC,MATCH($A54,Tiers_list!$2:$2,0),FALSE)*L54*'Proposal Form Tier 2-12'!B$12,VLOOKUP('Proposal Form Tier 2-12'!$B$5,Tiers_list!$A:$BC,MATCH($A54,Tiers_list!$2:$2,0),FALSE)*'Proposal Form Tier 2-12'!B$12*L54/10)*(1-'Proposal Form Tier 2-12'!$B$16-'Proposal Form Tier 2-12'!$B$14)</f>
        <v>0</v>
      </c>
      <c r="L54" s="11">
        <f t="shared" si="9"/>
        <v>0</v>
      </c>
      <c r="M54" s="52">
        <f>IF($I54&gt;0,'Proposal Form Tier 2-12'!$B$8,0)</f>
        <v>0</v>
      </c>
      <c r="N54" s="52">
        <f>IF($I54&gt;0,'Proposal Form Tier 2-12'!$B$9,0)</f>
        <v>0</v>
      </c>
      <c r="O54" s="52">
        <f>IF($I54&gt;0,'Proposal Form Tier 2-12'!$B$10,0)</f>
        <v>0</v>
      </c>
      <c r="P54" s="3">
        <f>+(J54/(1-'Proposal Form Tier 2-12'!$B$16-'Proposal Form Tier 2-12'!$B$14))+(K54/(1-'Proposal Form Tier 2-12'!$B$16-'Proposal Form Tier 2-12'!$B$14))</f>
        <v>0</v>
      </c>
    </row>
    <row r="55" spans="1:16" ht="45" outlineLevel="2" x14ac:dyDescent="0.25">
      <c r="A55" s="2" t="str">
        <f>+'Detail_Proposal_tier 1'!A55</f>
        <v>200-50079</v>
      </c>
      <c r="B55" s="10" t="str">
        <f>+'Detail_Proposal_tier 1'!B55</f>
        <v>ACS Enterprise Integrations</v>
      </c>
      <c r="C55" s="40" t="str">
        <f>+'Detail_Proposal_tier 1'!C55</f>
        <v xml:space="preserve">Annual ACS Cloud Enterprise Ecosystem, Hardware, Facility Sensors, Reader Monitoring UI features </v>
      </c>
      <c r="D55" s="13" t="str">
        <f>+'Detail_Proposal_tier 1'!D55</f>
        <v>Notification &amp; Alerts</v>
      </c>
      <c r="E55" s="10" t="str">
        <f>+'Detail_Proposal_tier 1'!E55</f>
        <v>Adds Notification Preference, Notification Group, and Scheduler Notification Preference screens to Job Scheduler, allowing operators to define recipient groups and enable or disable email alerts for scheduled job outcomes and system events.</v>
      </c>
      <c r="F55" s="10" t="str">
        <f>+'Detail_Proposal_tier 1'!F55</f>
        <v>ACS Cloud Enterprise lets operators configure who receives email notifications for scheduled job events and system alerts, and group recipients so the right team is notified automatically when something needs attention. This keeps administrators and stakeholders informed of job successes, failures, and system conditions without requiring them to actively monitor the platform.</v>
      </c>
      <c r="G55" s="10" t="s">
        <v>161</v>
      </c>
      <c r="H55" s="2" t="s">
        <v>20</v>
      </c>
      <c r="I55" s="52">
        <f>_xlfn.XLOOKUP($A55,'Proposal Form Tier 2-12'!$C:$C,'Proposal Form Tier 2-12'!$B:$B,0,0)</f>
        <v>0</v>
      </c>
      <c r="J55" s="3">
        <f>IF('Proposal Form Tier 2-12'!$B$5&lt;&gt;"Tier  - 1 - 10",VLOOKUP('Proposal Form Tier 2-12'!$B$5,Tiers_list!$A:$BC,MATCH($A55,Tiers_list!$2:$2,0),FALSE)*I55,VLOOKUP('Proposal Form Tier 2-12'!$B$5,Tiers_list!$A:$BC,MATCH($A55,Tiers_list!$2:$2,0),FALSE)*I55/10)*(1-'Proposal Form Tier 2-12'!$B$16-'Proposal Form Tier 2-12'!$B$14)</f>
        <v>0</v>
      </c>
      <c r="K55" s="3">
        <f>IF('Proposal Form Tier 2-12'!$B$5&lt;&gt;"Tier  - 1 - 10",VLOOKUP('Proposal Form Tier 2-12'!$B$5,Tiers_list!$A:$BC,MATCH($A55,Tiers_list!$2:$2,0),FALSE)*L55*'Proposal Form Tier 2-12'!B$12,VLOOKUP('Proposal Form Tier 2-12'!$B$5,Tiers_list!$A:$BC,MATCH($A55,Tiers_list!$2:$2,0),FALSE)*'Proposal Form Tier 2-12'!B$12*L55/10)*(1-'Proposal Form Tier 2-12'!$B$16-'Proposal Form Tier 2-12'!$B$14)</f>
        <v>0</v>
      </c>
      <c r="L55" s="11">
        <f t="shared" si="9"/>
        <v>0</v>
      </c>
      <c r="M55" s="52">
        <f>IF($I55&gt;0,'Proposal Form Tier 2-12'!$B$8,0)</f>
        <v>0</v>
      </c>
      <c r="N55" s="52">
        <f>IF($I55&gt;0,'Proposal Form Tier 2-12'!$B$9,0)</f>
        <v>0</v>
      </c>
      <c r="O55" s="52">
        <f>IF($I55&gt;0,'Proposal Form Tier 2-12'!$B$10,0)</f>
        <v>0</v>
      </c>
      <c r="P55" s="3">
        <f>+(J55/(1-'Proposal Form Tier 2-12'!$B$16-'Proposal Form Tier 2-12'!$B$14))+(K55/(1-'Proposal Form Tier 2-12'!$B$16-'Proposal Form Tier 2-12'!$B$14))</f>
        <v>0</v>
      </c>
    </row>
    <row r="56" spans="1:16" ht="45" outlineLevel="1" x14ac:dyDescent="0.25">
      <c r="A56" s="9"/>
      <c r="B56" s="124"/>
      <c r="C56" s="15" t="s">
        <v>156</v>
      </c>
      <c r="D56" s="124"/>
      <c r="E56" s="124"/>
      <c r="F56" s="124"/>
      <c r="G56" s="124"/>
      <c r="H56" s="9"/>
      <c r="I56" s="125">
        <f>SUBTOTAL(9,I44:I55)</f>
        <v>2</v>
      </c>
      <c r="J56" s="126">
        <f>SUBTOTAL(9,J44:J55)</f>
        <v>890.625</v>
      </c>
      <c r="K56" s="126">
        <f>SUBTOTAL(9,K44:K55)</f>
        <v>445.3125</v>
      </c>
      <c r="L56" s="127">
        <f>SUBTOTAL(9,L44:L55)</f>
        <v>2</v>
      </c>
      <c r="M56" s="125">
        <f>SUBTOTAL(9,M44:M55)</f>
        <v>2</v>
      </c>
      <c r="N56" s="125">
        <f>SUBTOTAL(9,N44:N55)</f>
        <v>0</v>
      </c>
      <c r="O56" s="125">
        <f>SUBTOTAL(9,O44:O55)</f>
        <v>0</v>
      </c>
      <c r="P56" s="126">
        <f>SUBTOTAL(9,P44:P55)</f>
        <v>1781.25</v>
      </c>
    </row>
    <row r="57" spans="1:16" ht="12" x14ac:dyDescent="0.25">
      <c r="A57" s="40"/>
      <c r="B57" s="124"/>
      <c r="C57" s="15" t="s">
        <v>151</v>
      </c>
      <c r="D57" s="124"/>
      <c r="E57" s="182" t="s">
        <v>649</v>
      </c>
      <c r="F57" s="182"/>
      <c r="G57" s="124"/>
      <c r="H57" s="9"/>
      <c r="I57" s="125">
        <f>SUBTOTAL(9,I2:I56)</f>
        <v>19</v>
      </c>
      <c r="J57" s="126">
        <f>SUBTOTAL(9,J2:J56)</f>
        <v>17990.625</v>
      </c>
      <c r="K57" s="126">
        <f>SUBTOTAL(9,K2:K56)</f>
        <v>8995.3125</v>
      </c>
      <c r="L57" s="127">
        <f>SUBTOTAL(9,L2:L56)</f>
        <v>19</v>
      </c>
      <c r="M57" s="125">
        <f>SUBTOTAL(9,M2:M56)</f>
        <v>19</v>
      </c>
      <c r="N57" s="125">
        <f>SUBTOTAL(9,N2:N56)</f>
        <v>0</v>
      </c>
      <c r="O57" s="125">
        <f>SUBTOTAL(9,O2:O56)</f>
        <v>0</v>
      </c>
      <c r="P57" s="126">
        <f>SUBTOTAL(9,P2:P56)</f>
        <v>35981.25</v>
      </c>
    </row>
    <row r="58" spans="1:16" x14ac:dyDescent="0.25">
      <c r="A58" s="135"/>
      <c r="C58" s="147"/>
      <c r="E58" s="148"/>
      <c r="F58" s="148"/>
      <c r="I58" s="148"/>
      <c r="J58" s="149"/>
      <c r="K58" s="149"/>
      <c r="L58" s="150"/>
      <c r="M58" s="148"/>
      <c r="N58" s="148"/>
      <c r="O58" s="148"/>
      <c r="P58" s="149"/>
    </row>
    <row r="59" spans="1:16" x14ac:dyDescent="0.25">
      <c r="A59" s="135"/>
      <c r="C59" s="147"/>
      <c r="E59" s="148"/>
      <c r="F59" s="148"/>
      <c r="I59" s="148"/>
      <c r="J59" s="149"/>
      <c r="K59" s="149"/>
      <c r="L59" s="150"/>
      <c r="M59" s="148"/>
      <c r="N59" s="148"/>
      <c r="O59" s="148"/>
      <c r="P59" s="149"/>
    </row>
    <row r="60" spans="1:16" x14ac:dyDescent="0.25">
      <c r="A60" s="135"/>
      <c r="C60" s="147"/>
      <c r="I60" s="148"/>
      <c r="J60" s="149"/>
      <c r="K60" s="149"/>
      <c r="L60" s="150"/>
      <c r="M60" s="148"/>
      <c r="N60" s="148"/>
      <c r="O60" s="148"/>
      <c r="P60" s="149"/>
    </row>
    <row r="61" spans="1:16" x14ac:dyDescent="0.25">
      <c r="A61" s="135"/>
      <c r="C61" s="147"/>
      <c r="I61" s="148"/>
      <c r="J61" s="149"/>
      <c r="K61" s="149"/>
      <c r="L61" s="150"/>
      <c r="M61" s="148"/>
      <c r="N61" s="148"/>
      <c r="O61" s="148"/>
      <c r="P61" s="149"/>
    </row>
    <row r="62" spans="1:16" ht="22.5" x14ac:dyDescent="0.25">
      <c r="A62" s="80" t="s">
        <v>14</v>
      </c>
      <c r="B62" s="80" t="s">
        <v>33</v>
      </c>
      <c r="C62" s="80" t="s">
        <v>147</v>
      </c>
      <c r="D62" s="80" t="s">
        <v>29</v>
      </c>
      <c r="E62" s="80" t="s">
        <v>641</v>
      </c>
      <c r="F62" s="80"/>
      <c r="G62" s="80" t="s">
        <v>160</v>
      </c>
      <c r="H62" s="81" t="s">
        <v>19</v>
      </c>
      <c r="I62" s="84" t="s">
        <v>642</v>
      </c>
      <c r="J62" s="80" t="s">
        <v>624</v>
      </c>
      <c r="K62" s="108"/>
      <c r="L62" s="80"/>
      <c r="M62" s="80"/>
      <c r="N62" s="80"/>
      <c r="O62" s="158"/>
      <c r="P62" s="80" t="s">
        <v>623</v>
      </c>
    </row>
    <row r="63" spans="1:16" s="4" customFormat="1" ht="33.75" outlineLevel="2" x14ac:dyDescent="0.25">
      <c r="A63" s="29" t="s">
        <v>157</v>
      </c>
      <c r="B63" s="10" t="s">
        <v>80</v>
      </c>
      <c r="C63" s="40" t="s">
        <v>21</v>
      </c>
      <c r="D63" s="10" t="s">
        <v>0</v>
      </c>
      <c r="E63" s="10" t="s">
        <v>21</v>
      </c>
      <c r="F63" s="10"/>
      <c r="G63" s="10" t="s">
        <v>162</v>
      </c>
      <c r="H63" s="2"/>
      <c r="I63" s="52">
        <f>_xlfn.XLOOKUP($A63,'Proposal Form Tier 2-12'!$C:$C,'Proposal Form Tier 2-12'!$B:$B,0,0)</f>
        <v>1</v>
      </c>
      <c r="J63" s="3">
        <f>IF('Proposal Form Tier 2-12'!$B$5&lt;&gt;"Tier  - 1 - 10",VLOOKUP('Proposal Form Tier 2-12'!$B$5,Tiers_list!$A:$BC,MATCH($A63,Tiers_list!$2:$2,0),FALSE)*I63,VLOOKUP('Proposal Form Tier 2-12'!$B$5,Tiers_list!$A:$BC,MATCH($A63,Tiers_list!$2:$2,0),FALSE)*I63/10)*(1-'Proposal Form Tier 2-12'!B13-'Proposal Form Tier 2-12'!B14)</f>
        <v>19000</v>
      </c>
      <c r="K63" s="3"/>
      <c r="L63" s="11"/>
      <c r="M63" s="52"/>
      <c r="N63" s="52"/>
      <c r="O63" s="52"/>
      <c r="P63" s="3">
        <f>+(J63/(1-'Proposal Form Tier 2-12'!$B$16-'Proposal Form Tier 2-12'!$B$14))+(K63/(1-'Proposal Form Tier 2-12'!$B$16-'Proposal Form Tier 2-12'!$B$14))</f>
        <v>25333.333333333332</v>
      </c>
    </row>
    <row r="64" spans="1:16" ht="45" x14ac:dyDescent="0.25">
      <c r="A64" s="5" t="s">
        <v>181</v>
      </c>
      <c r="B64" s="10" t="s">
        <v>80</v>
      </c>
      <c r="C64" s="40" t="s">
        <v>82</v>
      </c>
      <c r="D64" s="13" t="str">
        <f>_xlfn.XLOOKUP(A64,Tiers_list!$2:$2,Tiers_list!$1:$1,,0)</f>
        <v>Annual Remote Training ACS</v>
      </c>
      <c r="E64" s="13" t="s">
        <v>83</v>
      </c>
      <c r="F64" s="13"/>
      <c r="G64" s="10" t="s">
        <v>165</v>
      </c>
      <c r="H64" s="2" t="s">
        <v>166</v>
      </c>
      <c r="I64" s="52">
        <f>_xlfn.XLOOKUP($A64,'Proposal Form Tier 1'!$C:$C,'Proposal Form Tier 1'!$B:$B,0,0)</f>
        <v>1</v>
      </c>
      <c r="J64" s="51">
        <f>VLOOKUP('Proposal Form Tier 2-12'!$B$5,Tiers_list!$A:$BC,MATCH($A64,Tiers_list!$2:$2,0),FALSE)*(I64*(1-'Proposal Form Tier 2-12'!$B$14-'Proposal Form Tier 2-12'!$B$13))</f>
        <v>2500</v>
      </c>
      <c r="K64" s="3"/>
      <c r="L64" s="11"/>
      <c r="M64" s="52"/>
      <c r="N64" s="52"/>
      <c r="O64" s="52"/>
      <c r="P64" s="3">
        <f>+(J64/(1-'Proposal Form Tier 2-12'!$B$16-'Proposal Form Tier 2-12'!$B$14))+(K64/(1-'Proposal Form Tier 2-12'!$B$16-'Proposal Form Tier 2-12'!$B$14))</f>
        <v>3333.3333333333335</v>
      </c>
    </row>
    <row r="65" spans="1:17" s="4" customFormat="1" ht="22.5" outlineLevel="2" x14ac:dyDescent="0.25">
      <c r="A65" s="2" t="s">
        <v>616</v>
      </c>
      <c r="B65" s="10" t="s">
        <v>80</v>
      </c>
      <c r="C65" s="40" t="s">
        <v>626</v>
      </c>
      <c r="D65" s="13" t="str">
        <f>_xlfn.XLOOKUP(A65,Tiers_list!$2:$2,Tiers_list!$1:$1,,0)</f>
        <v>ACS Enterprise - Tech Software License - Annual Software Assurance</v>
      </c>
      <c r="E65" s="14" t="s">
        <v>625</v>
      </c>
      <c r="F65" s="14"/>
      <c r="G65" s="10" t="s">
        <v>162</v>
      </c>
      <c r="H65" s="2"/>
      <c r="I65" s="52">
        <f>_xlfn.XLOOKUP($A65,'Proposal Form Tier 2-12'!$C:$C,'Proposal Form Tier 2-12'!$B:$B,0,0)</f>
        <v>1</v>
      </c>
      <c r="J65" s="3">
        <f>IF('Proposal Form Tier 2-12'!$B$5&lt;&gt;"Tier  - 1 - 10",VLOOKUP('Proposal Form Tier 2-12'!$B$5,Tiers_list!$A:$BC,MATCH($A65,Tiers_list!$2:$2,0),FALSE)*I65,VLOOKUP('Proposal Form Tier 2-12'!$B$5,Tiers_list!$A:$BC,MATCH($A65,Tiers_list!$2:$2,0),FALSE)*I65/10)</f>
        <v>81.707280688754679</v>
      </c>
      <c r="K65" s="3"/>
      <c r="L65" s="11"/>
      <c r="M65" s="52"/>
      <c r="N65" s="52"/>
      <c r="O65" s="52"/>
      <c r="P65" s="3">
        <f>+(J65/(1-'Proposal Form Tier 2-12'!$B$16-'Proposal Form Tier 2-12'!$B$14))+(K65/(1-'Proposal Form Tier 2-12'!$B$16-'Proposal Form Tier 2-12'!$B$14))</f>
        <v>108.94304091833958</v>
      </c>
    </row>
    <row r="66" spans="1:17" s="4" customFormat="1" ht="22.5" outlineLevel="2" x14ac:dyDescent="0.25">
      <c r="A66" s="2" t="s">
        <v>79</v>
      </c>
      <c r="B66" s="10" t="s">
        <v>80</v>
      </c>
      <c r="C66" s="40" t="s">
        <v>81</v>
      </c>
      <c r="D66" s="13" t="str">
        <f>_xlfn.XLOOKUP(A66,Tiers_list!$2:$2,Tiers_list!$1:$1,,0)</f>
        <v>ACS TLS 1.2/1.3 PCB</v>
      </c>
      <c r="E66" s="14" t="s">
        <v>627</v>
      </c>
      <c r="F66" s="14"/>
      <c r="G66" s="10" t="s">
        <v>162</v>
      </c>
      <c r="H66" s="2"/>
      <c r="I66" s="52">
        <f>_xlfn.XLOOKUP($A66,'Proposal Form Tier 2-12'!$C:$C,'Proposal Form Tier 2-12'!$B:$B,0,0)</f>
        <v>2200</v>
      </c>
      <c r="J66" s="3">
        <f>IF('Proposal Form Tier 2-12'!$B$5&lt;&gt;"Tier  - 1 - 10",VLOOKUP('Proposal Form Tier 2-12'!$B$5,Tiers_list!$A:$BC,MATCH($A66,Tiers_list!$2:$2,0),FALSE)*I66,VLOOKUP('Proposal Form Tier 2-12'!$B$5,Tiers_list!$A:$BC,MATCH($A66,Tiers_list!$2:$2,0),FALSE)*I66/10)*(1-'Proposal Form Tier 2-12'!$B$16-'Proposal Form Tier 2-12'!$B$14)</f>
        <v>21278.328445913787</v>
      </c>
      <c r="K66" s="3"/>
      <c r="L66" s="11"/>
      <c r="M66" s="52"/>
      <c r="N66" s="52"/>
      <c r="O66" s="52"/>
      <c r="P66" s="3">
        <f>+(J66/(1-'Proposal Form Tier 2-12'!$B$16-'Proposal Form Tier 2-12'!$B$14))+(K66/(1-'Proposal Form Tier 2-12'!$B$16-'Proposal Form Tier 2-12'!$B$14))</f>
        <v>28371.104594551714</v>
      </c>
    </row>
    <row r="67" spans="1:17" s="6" customFormat="1" ht="56.25" outlineLevel="2" x14ac:dyDescent="0.25">
      <c r="A67" s="5" t="s">
        <v>3</v>
      </c>
      <c r="B67" s="10" t="s">
        <v>80</v>
      </c>
      <c r="C67" s="40" t="s">
        <v>58</v>
      </c>
      <c r="D67" s="13" t="str">
        <f>_xlfn.XLOOKUP(A67,Tiers_list!$2:$2,Tiers_list!$1:$1,,0)</f>
        <v>Silent Installer with ACS Enterprise software license Cloud Key Validation</v>
      </c>
      <c r="E67" s="10" t="s">
        <v>28</v>
      </c>
      <c r="F67" s="10"/>
      <c r="G67" s="10" t="s">
        <v>640</v>
      </c>
      <c r="H67" s="2" t="s">
        <v>20</v>
      </c>
      <c r="I67" s="52">
        <f>_xlfn.XLOOKUP($A67,'Proposal Form Tier 2-12'!$C:$C,'Proposal Form Tier 2-12'!$B:$B,0,0)</f>
        <v>1</v>
      </c>
      <c r="J67" s="3">
        <f>IF('Proposal Form Tier 2-12'!$B$5&lt;&gt;"Tier  - 1 - 10",VLOOKUP('Proposal Form Tier 2-12'!$B$5,Tiers_list!$A:$BC,MATCH($A67,Tiers_list!$2:$2,0),FALSE)*I67,VLOOKUP('Proposal Form Tier 2-12'!$B$5,Tiers_list!$A:$BC,MATCH($A67,Tiers_list!$2:$2,0),FALSE)*I67/10)*(1-'Proposal Form Tier 2-12'!$B$16-'Proposal Form Tier 2-12'!$B$14)</f>
        <v>0</v>
      </c>
      <c r="K67" s="3"/>
      <c r="L67" s="11"/>
      <c r="M67" s="52"/>
      <c r="N67" s="52"/>
      <c r="O67" s="52"/>
      <c r="P67" s="3">
        <f>+(J67/(1-'Proposal Form Tier 2-12'!$B$16-'Proposal Form Tier 2-12'!$B$14))+(K67/(1-'Proposal Form Tier 2-12'!$B$16-'Proposal Form Tier 2-12'!$B$14))</f>
        <v>0</v>
      </c>
    </row>
    <row r="68" spans="1:17" ht="56.25" outlineLevel="2" x14ac:dyDescent="0.25">
      <c r="A68" s="5" t="s">
        <v>4</v>
      </c>
      <c r="B68" s="10" t="s">
        <v>80</v>
      </c>
      <c r="C68" s="40" t="s">
        <v>58</v>
      </c>
      <c r="D68" s="13" t="str">
        <f>_xlfn.XLOOKUP(A68,Tiers_list!$2:$2,Tiers_list!$1:$1,,0)</f>
        <v>Parabit Cloud App/DB Software Instance Activation/Term Management</v>
      </c>
      <c r="E68" s="10" t="s">
        <v>50</v>
      </c>
      <c r="F68" s="10"/>
      <c r="G68" s="10" t="s">
        <v>640</v>
      </c>
      <c r="H68" s="2" t="s">
        <v>20</v>
      </c>
      <c r="I68" s="52">
        <f>_xlfn.XLOOKUP($A68,'Proposal Form Tier 2-12'!$C:$C,'Proposal Form Tier 2-12'!$B:$B,0,0)</f>
        <v>1</v>
      </c>
      <c r="J68" s="3">
        <f>IF('Proposal Form Tier 2-12'!$B$5&lt;&gt;"Tier  - 1 - 10",VLOOKUP('Proposal Form Tier 2-12'!$B$5,Tiers_list!$A:$BC,MATCH($A68,Tiers_list!$2:$2,0),FALSE)*I68,VLOOKUP('Proposal Form Tier 2-12'!$B$5,Tiers_list!$A:$BC,MATCH($A68,Tiers_list!$2:$2,0),FALSE)*I68/10)*(1-'Proposal Form Tier 2-12'!$B$16-'Proposal Form Tier 2-12'!$B$14)</f>
        <v>0</v>
      </c>
      <c r="K68" s="3"/>
      <c r="L68" s="11"/>
      <c r="M68" s="52"/>
      <c r="N68" s="52"/>
      <c r="O68" s="52"/>
      <c r="P68" s="3">
        <f>+(J68/(1-'Proposal Form Tier 2-12'!$B$16-'Proposal Form Tier 2-12'!$B$14))+(K68/(1-'Proposal Form Tier 2-12'!$B$16-'Proposal Form Tier 2-12'!$B$14))</f>
        <v>0</v>
      </c>
    </row>
    <row r="69" spans="1:17" outlineLevel="2" x14ac:dyDescent="0.25">
      <c r="A69" s="6"/>
      <c r="B69" s="145"/>
      <c r="C69" s="135"/>
      <c r="D69" s="146"/>
      <c r="E69" s="173"/>
      <c r="F69" s="174"/>
      <c r="G69" s="174"/>
      <c r="H69" s="175"/>
      <c r="I69" s="169" t="s">
        <v>648</v>
      </c>
      <c r="J69" s="167">
        <f>SUM(J62:J68)</f>
        <v>42860.035726602538</v>
      </c>
      <c r="K69" s="167"/>
      <c r="L69" s="167"/>
      <c r="M69" s="52"/>
      <c r="N69" s="52"/>
      <c r="O69" s="52"/>
      <c r="P69" s="167">
        <f>SUM(P62:P68)</f>
        <v>57146.714302136723</v>
      </c>
      <c r="Q69" s="144"/>
    </row>
    <row r="70" spans="1:17" outlineLevel="2" x14ac:dyDescent="0.25">
      <c r="A70" s="6"/>
      <c r="B70" s="145"/>
      <c r="C70" s="135"/>
      <c r="D70" s="146"/>
      <c r="E70" s="145"/>
      <c r="F70" s="145"/>
      <c r="G70" s="145"/>
      <c r="H70" s="144"/>
      <c r="I70" s="144"/>
      <c r="J70" s="144"/>
      <c r="K70" s="144"/>
      <c r="L70" s="144"/>
      <c r="M70" s="144"/>
      <c r="N70" s="144"/>
      <c r="O70" s="144"/>
      <c r="P70" s="144"/>
      <c r="Q70" s="144"/>
    </row>
    <row r="71" spans="1:17" ht="11.25" customHeight="1" x14ac:dyDescent="0.25">
      <c r="A71" s="1"/>
      <c r="B71" s="1"/>
      <c r="C71" s="1"/>
      <c r="D71" s="1"/>
      <c r="E71" s="176"/>
      <c r="F71" s="177"/>
      <c r="G71" s="177"/>
      <c r="H71" s="177"/>
      <c r="I71" s="169" t="s">
        <v>650</v>
      </c>
      <c r="J71" s="167">
        <f>+J69+J57</f>
        <v>60850.660726602538</v>
      </c>
      <c r="K71" s="167">
        <f>+K57</f>
        <v>8995.3125</v>
      </c>
      <c r="L71" s="166">
        <f>SUM(J71:K71)</f>
        <v>69845.973226602538</v>
      </c>
      <c r="M71" s="52"/>
      <c r="N71" s="52"/>
      <c r="O71" s="52"/>
      <c r="P71" s="167">
        <f>+P69+P57</f>
        <v>93127.964302136723</v>
      </c>
    </row>
    <row r="72" spans="1:17" outlineLevel="2" x14ac:dyDescent="0.25">
      <c r="A72" s="6"/>
      <c r="B72" s="145"/>
      <c r="C72" s="135"/>
      <c r="D72" s="146"/>
      <c r="E72" s="145"/>
      <c r="F72" s="145"/>
      <c r="G72" s="145"/>
      <c r="H72" s="144"/>
      <c r="I72" s="144"/>
      <c r="J72" s="144"/>
      <c r="K72" s="144"/>
      <c r="L72" s="144"/>
      <c r="M72" s="144"/>
      <c r="N72" s="144"/>
      <c r="O72" s="144"/>
      <c r="P72" s="144"/>
      <c r="Q72" s="144"/>
    </row>
    <row r="73" spans="1:17" ht="35.25" customHeight="1" x14ac:dyDescent="0.25"/>
    <row r="74" spans="1:17" ht="22.5" x14ac:dyDescent="0.25">
      <c r="A74" s="80" t="s">
        <v>14</v>
      </c>
      <c r="B74" s="80" t="s">
        <v>33</v>
      </c>
      <c r="C74" s="80" t="s">
        <v>147</v>
      </c>
      <c r="D74" s="80" t="s">
        <v>29</v>
      </c>
      <c r="E74" s="80" t="s">
        <v>653</v>
      </c>
      <c r="F74" s="80"/>
      <c r="G74" s="80" t="s">
        <v>160</v>
      </c>
      <c r="H74" s="81" t="s">
        <v>19</v>
      </c>
      <c r="I74" s="84" t="s">
        <v>177</v>
      </c>
      <c r="J74" s="80" t="s">
        <v>621</v>
      </c>
      <c r="K74" s="108" t="s">
        <v>622</v>
      </c>
      <c r="L74" s="80" t="s">
        <v>164</v>
      </c>
      <c r="M74" s="80" t="s">
        <v>623</v>
      </c>
      <c r="N74" s="80" t="s">
        <v>624</v>
      </c>
      <c r="O74" s="83" t="str">
        <f>+'Proposal Form Tier 2-12'!B5</f>
        <v>Tier 11 - 2001 - 3000</v>
      </c>
    </row>
    <row r="75" spans="1:17" ht="22.5" x14ac:dyDescent="0.25">
      <c r="A75" s="5" t="s">
        <v>180</v>
      </c>
      <c r="B75" s="10" t="s">
        <v>80</v>
      </c>
      <c r="C75" s="40" t="s">
        <v>660</v>
      </c>
      <c r="D75" s="13" t="str">
        <f>_xlfn.XLOOKUP(A75,Tiers_list!$2:$2,Tiers_list!$1:$1,,0)</f>
        <v>Remote ACS Software Install Support</v>
      </c>
      <c r="E75" s="10" t="s">
        <v>53</v>
      </c>
      <c r="F75" s="10"/>
      <c r="G75" s="10" t="s">
        <v>163</v>
      </c>
      <c r="H75" s="2" t="s">
        <v>20</v>
      </c>
      <c r="I75" s="152">
        <f>IF('Proposal Form Tier 2-12'!$B$5&lt;&gt;"Tier  - 1 - 10",VLOOKUP('Proposal Form Tier 2-12'!$B$5,Tiers_list!$A:$BC,MATCH($A75,Tiers_list!$2:$2,0),FALSE),VLOOKUP('Proposal Form Tier 2-12'!$B$5,Tiers_list!$A:$BC,MATCH($A75,Tiers_list!$2:$2,0),FALSE))</f>
        <v>250</v>
      </c>
      <c r="J75" s="54">
        <f>+'Proposal Form Tier 2-12'!$B$16+'Proposal Form Tier 2-12'!$B$14</f>
        <v>0.25</v>
      </c>
      <c r="K75" s="152">
        <f t="shared" ref="K75:K86" si="10">+I75*(1-J75)</f>
        <v>187.5</v>
      </c>
      <c r="L75" s="98">
        <f>SUBTOTAL(9,I2:I56)+SUBTOTAL(9,L2:L56)</f>
        <v>38</v>
      </c>
      <c r="M75" s="152">
        <f t="shared" ref="M75:M86" si="11">+L75*I75</f>
        <v>9500</v>
      </c>
      <c r="N75" s="152">
        <f t="shared" ref="N75:N86" si="12">+L75*K75</f>
        <v>7125</v>
      </c>
      <c r="O75" s="4"/>
    </row>
    <row r="76" spans="1:17" ht="33.75" x14ac:dyDescent="0.25">
      <c r="A76" s="129" t="s">
        <v>645</v>
      </c>
      <c r="B76" s="128" t="s">
        <v>123</v>
      </c>
      <c r="C76" s="40" t="s">
        <v>667</v>
      </c>
      <c r="D76" s="13" t="str">
        <f>_xlfn.XLOOKUP(A76,Tiers_list!$2:$2,Tiers_list!$1:$1,,0)</f>
        <v>ACS Enterprise - Hardware - Controller Firmware Programmer  KIT - No license Provided.</v>
      </c>
      <c r="E76" s="128" t="s">
        <v>647</v>
      </c>
      <c r="F76" s="128"/>
      <c r="G76" s="10" t="s">
        <v>163</v>
      </c>
      <c r="H76" s="2" t="s">
        <v>20</v>
      </c>
      <c r="I76" s="152">
        <f>IF('Proposal Form Tier 2-12'!$B$5&lt;&gt;"Tier  - 1 - 10",VLOOKUP('Proposal Form Tier 2-12'!$B$5,Tiers_list!$A:$BC,MATCH($A76,Tiers_list!$2:$2,0),FALSE),VLOOKUP('Proposal Form Tier 2-12'!$B$5,Tiers_list!$A:$BC,MATCH($A76,Tiers_list!$2:$2,0),FALSE))</f>
        <v>926</v>
      </c>
      <c r="J76" s="54">
        <f>+'Proposal Form Tier 2-12'!$B$16+'Proposal Form Tier 2-12'!$B$14</f>
        <v>0.25</v>
      </c>
      <c r="K76" s="152">
        <f>+I76*(1-J76)</f>
        <v>694.5</v>
      </c>
      <c r="L76" s="53">
        <f>_xlfn.XLOOKUP($A76,'Proposal Form Tier 2-12'!$C:$C,'Proposal Form Tier 2-12'!$B:$B,0,0)</f>
        <v>1</v>
      </c>
      <c r="M76" s="152">
        <f>+L76*I76</f>
        <v>926</v>
      </c>
      <c r="N76" s="152">
        <f>+L76*K76</f>
        <v>694.5</v>
      </c>
      <c r="O76" s="1"/>
    </row>
    <row r="77" spans="1:17" ht="22.5" x14ac:dyDescent="0.25">
      <c r="A77" s="129" t="s">
        <v>124</v>
      </c>
      <c r="B77" s="128" t="s">
        <v>123</v>
      </c>
      <c r="C77" s="40" t="s">
        <v>659</v>
      </c>
      <c r="D77" s="13" t="str">
        <f>_xlfn.XLOOKUP(A77,Tiers_list!$2:$2,Tiers_list!$1:$1,,0)</f>
        <v>TLS 1.2/1.3 PCB</v>
      </c>
      <c r="E77" s="128" t="s">
        <v>628</v>
      </c>
      <c r="F77" s="128"/>
      <c r="G77" s="10" t="s">
        <v>163</v>
      </c>
      <c r="H77" s="2" t="s">
        <v>20</v>
      </c>
      <c r="I77" s="152">
        <f>IF('Proposal Form Tier 2-12'!$B$5&lt;&gt;"Tier  - 1 - 10",VLOOKUP('Proposal Form Tier 2-12'!$B$5,Tiers_list!$A:$BC,MATCH($A77,Tiers_list!$2:$2,0),FALSE),VLOOKUP('Proposal Form Tier 2-12'!$B$5,Tiers_list!$A:$BC,MATCH($A77,Tiers_list!$2:$2,0),FALSE))</f>
        <v>317.84132187925564</v>
      </c>
      <c r="J77" s="54">
        <f>+'Proposal Form Tier 2-12'!$B$16+'Proposal Form Tier 2-12'!$B$14</f>
        <v>0.25</v>
      </c>
      <c r="K77" s="152">
        <f>+I77*(1-J77)</f>
        <v>238.38099140944172</v>
      </c>
      <c r="L77" s="53">
        <f>_xlfn.XLOOKUP($A77,'Proposal Form Tier 2-12'!$C:$C,'Proposal Form Tier 2-12'!$B:$B,0,0)</f>
        <v>2200</v>
      </c>
      <c r="M77" s="152">
        <f>+L77*I77</f>
        <v>699250.90813436243</v>
      </c>
      <c r="N77" s="152">
        <f>+L77*K77</f>
        <v>524438.18110077176</v>
      </c>
      <c r="O77" s="1"/>
    </row>
    <row r="78" spans="1:17" ht="22.5" x14ac:dyDescent="0.25">
      <c r="A78" s="12"/>
      <c r="B78" s="14"/>
      <c r="C78" s="40"/>
      <c r="D78" s="13"/>
      <c r="E78" s="80" t="s">
        <v>654</v>
      </c>
      <c r="F78" s="80"/>
      <c r="G78" s="10"/>
      <c r="H78" s="2"/>
      <c r="I78" s="152"/>
      <c r="J78" s="54"/>
      <c r="K78" s="112"/>
      <c r="L78" s="53"/>
      <c r="M78" s="206">
        <f>SUM(M75:M77)</f>
        <v>709676.90813436243</v>
      </c>
      <c r="N78" s="206">
        <f>SUM(N75:N77)</f>
        <v>532257.68110077176</v>
      </c>
    </row>
    <row r="79" spans="1:17" ht="24" customHeight="1" x14ac:dyDescent="0.25"/>
    <row r="80" spans="1:17" ht="24" customHeight="1" x14ac:dyDescent="0.25"/>
    <row r="81" spans="1:15" ht="24" customHeight="1" x14ac:dyDescent="0.25"/>
    <row r="82" spans="1:15" ht="18.75" customHeight="1" x14ac:dyDescent="0.25"/>
    <row r="83" spans="1:15" ht="22.5" x14ac:dyDescent="0.25">
      <c r="A83" s="80" t="s">
        <v>14</v>
      </c>
      <c r="B83" s="80" t="s">
        <v>33</v>
      </c>
      <c r="C83" s="80" t="s">
        <v>147</v>
      </c>
      <c r="D83" s="80" t="s">
        <v>29</v>
      </c>
      <c r="E83" s="213" t="s">
        <v>652</v>
      </c>
      <c r="F83" s="213"/>
      <c r="G83" s="10"/>
      <c r="H83" s="2"/>
      <c r="I83" s="84" t="s">
        <v>177</v>
      </c>
      <c r="J83" s="85" t="s">
        <v>621</v>
      </c>
      <c r="K83" s="108" t="s">
        <v>622</v>
      </c>
      <c r="L83" s="80" t="s">
        <v>164</v>
      </c>
      <c r="M83" s="80" t="s">
        <v>623</v>
      </c>
      <c r="N83" s="80" t="s">
        <v>624</v>
      </c>
    </row>
    <row r="84" spans="1:15" ht="45" x14ac:dyDescent="0.25">
      <c r="A84" s="16" t="s">
        <v>170</v>
      </c>
      <c r="B84" s="2" t="s">
        <v>123</v>
      </c>
      <c r="C84" s="40" t="s">
        <v>658</v>
      </c>
      <c r="D84" s="13" t="str">
        <f>_xlfn.XLOOKUP(A84,Tiers_list!$2:$2,Tiers_list!$1:$1,,0)</f>
        <v>Labor - Trip Charge - Non-Union - On-Site Tech Labor Standard Weekday Business Hours Travel / Service Rate (M-F 09:00-17:00)</v>
      </c>
      <c r="E84" s="2" t="s">
        <v>167</v>
      </c>
      <c r="F84" s="2"/>
      <c r="G84" s="10" t="s">
        <v>163</v>
      </c>
      <c r="H84" s="2" t="s">
        <v>20</v>
      </c>
      <c r="I84" s="152">
        <f>IF('Proposal Form Tier 2-12'!$B$5&lt;&gt;"Tier  - 1 - 10",VLOOKUP('Proposal Form Tier 2-12'!$B$5,Tiers_list!$A:$BC,MATCH($A84,Tiers_list!$2:$2,0),FALSE),VLOOKUP('Proposal Form Tier 2-12'!$B$5,Tiers_list!$A:$BC,MATCH($A84,Tiers_list!$2:$2,0),FALSE))</f>
        <v>225</v>
      </c>
      <c r="J84" s="54">
        <f>+'Proposal Form Tier 2-12'!$B$16+'Proposal Form Tier 2-12'!$B$14</f>
        <v>0.25</v>
      </c>
      <c r="K84" s="152">
        <f t="shared" si="10"/>
        <v>168.75</v>
      </c>
      <c r="L84" s="53">
        <f>_xlfn.XLOOKUP($A84,'Proposal Form Tier 2-12'!$C:$C,'Proposal Form Tier 2-12'!$B:$B,0,0)</f>
        <v>0</v>
      </c>
      <c r="M84" s="152">
        <f t="shared" si="11"/>
        <v>0</v>
      </c>
      <c r="N84" s="152">
        <f t="shared" si="12"/>
        <v>0</v>
      </c>
      <c r="O84" s="4"/>
    </row>
    <row r="85" spans="1:15" ht="78.75" x14ac:dyDescent="0.25">
      <c r="A85" s="16" t="s">
        <v>171</v>
      </c>
      <c r="B85" s="2" t="s">
        <v>123</v>
      </c>
      <c r="C85" s="40" t="s">
        <v>658</v>
      </c>
      <c r="D85" s="13" t="str">
        <f>_xlfn.XLOOKUP(A85,Tiers_list!$2:$2,Tiers_list!$1:$1,,0)</f>
        <v>Labor - Non-Union - On-Site Tech Labor Standard Weekday Business Hours Travel / Service Rate (M-F 09:00-17:00) 1st Hour On-Site Minimum Invoice. Additional time invoiced in fifteen (15) minute increments</v>
      </c>
      <c r="E85" s="2" t="s">
        <v>168</v>
      </c>
      <c r="F85" s="2"/>
      <c r="G85" s="10" t="s">
        <v>163</v>
      </c>
      <c r="H85" s="2" t="s">
        <v>20</v>
      </c>
      <c r="I85" s="152">
        <f>IF('Proposal Form Tier 2-12'!$B$5&lt;&gt;"Tier  - 1 - 10",VLOOKUP('Proposal Form Tier 2-12'!$B$5,Tiers_list!$A:$BC,MATCH($A85,Tiers_list!$2:$2,0),FALSE),VLOOKUP('Proposal Form Tier 2-12'!$B$5,Tiers_list!$A:$BC,MATCH($A85,Tiers_list!$2:$2,0),FALSE))</f>
        <v>190</v>
      </c>
      <c r="J85" s="54">
        <f>+'Proposal Form Tier 2-12'!$B$16+'Proposal Form Tier 2-12'!$B$14</f>
        <v>0.25</v>
      </c>
      <c r="K85" s="152">
        <f t="shared" si="10"/>
        <v>142.5</v>
      </c>
      <c r="L85" s="53">
        <f>_xlfn.XLOOKUP($A85,'Proposal Form Tier 2-12'!$C:$C,'Proposal Form Tier 2-12'!$B:$B,0,0)</f>
        <v>0</v>
      </c>
      <c r="M85" s="152">
        <f t="shared" si="11"/>
        <v>0</v>
      </c>
      <c r="N85" s="152">
        <f t="shared" si="12"/>
        <v>0</v>
      </c>
      <c r="O85" s="4"/>
    </row>
    <row r="86" spans="1:15" ht="33.75" x14ac:dyDescent="0.25">
      <c r="A86" s="16" t="s">
        <v>172</v>
      </c>
      <c r="B86" s="2" t="s">
        <v>123</v>
      </c>
      <c r="C86" s="40" t="s">
        <v>658</v>
      </c>
      <c r="D86" s="13" t="str">
        <f>_xlfn.XLOOKUP(A86,Tiers_list!$2:$2,Tiers_list!$1:$1,,0)</f>
        <v>Labor - Project Management - Weekday Business Hours (M-F 09:00-17:00)</v>
      </c>
      <c r="E86" s="2" t="s">
        <v>169</v>
      </c>
      <c r="F86" s="2"/>
      <c r="G86" s="10" t="s">
        <v>163</v>
      </c>
      <c r="H86" s="2" t="s">
        <v>20</v>
      </c>
      <c r="I86" s="152">
        <f>IF('Proposal Form Tier 2-12'!$B$5&lt;&gt;"Tier  - 1 - 10",VLOOKUP('Proposal Form Tier 2-12'!$B$5,Tiers_list!$A:$BC,MATCH($A86,Tiers_list!$2:$2,0),FALSE),VLOOKUP('Proposal Form Tier 2-12'!$B$5,Tiers_list!$A:$BC,MATCH($A86,Tiers_list!$2:$2,0),FALSE))</f>
        <v>250</v>
      </c>
      <c r="J86" s="54">
        <f>+'Proposal Form Tier 2-12'!$B$16+'Proposal Form Tier 2-12'!$B$14</f>
        <v>0.25</v>
      </c>
      <c r="K86" s="152">
        <f t="shared" si="10"/>
        <v>187.5</v>
      </c>
      <c r="L86" s="53">
        <f>_xlfn.XLOOKUP($A86,'Proposal Form Tier 2-12'!$C:$C,'Proposal Form Tier 2-12'!$B:$B,0,0)</f>
        <v>0</v>
      </c>
      <c r="M86" s="152">
        <f t="shared" si="11"/>
        <v>0</v>
      </c>
      <c r="N86" s="152">
        <f t="shared" si="12"/>
        <v>0</v>
      </c>
      <c r="O86" s="4"/>
    </row>
    <row r="87" spans="1:15" x14ac:dyDescent="0.25">
      <c r="A87" s="168"/>
      <c r="B87" s="144"/>
      <c r="C87" s="135"/>
      <c r="D87" s="146"/>
      <c r="E87" s="205" t="s">
        <v>655</v>
      </c>
      <c r="F87" s="249"/>
      <c r="G87" s="207"/>
      <c r="H87" s="208"/>
      <c r="I87" s="209"/>
      <c r="J87" s="210"/>
      <c r="K87" s="211"/>
      <c r="L87" s="212"/>
      <c r="M87" s="206">
        <f>SUM(M84:M86)</f>
        <v>0</v>
      </c>
      <c r="N87" s="206">
        <f>SUM(N84:N86)</f>
        <v>0</v>
      </c>
    </row>
    <row r="88" spans="1:15" x14ac:dyDescent="0.25">
      <c r="A88" s="168"/>
      <c r="B88" s="144"/>
      <c r="C88" s="135"/>
      <c r="D88" s="146"/>
      <c r="E88" s="144"/>
      <c r="F88" s="144"/>
      <c r="G88" s="170"/>
      <c r="H88" s="203"/>
      <c r="I88" s="203"/>
      <c r="J88" s="171"/>
      <c r="K88" s="172"/>
      <c r="L88" s="204" t="s">
        <v>657</v>
      </c>
      <c r="M88" s="219">
        <f>+M87+M78</f>
        <v>709676.90813436243</v>
      </c>
      <c r="N88" s="219">
        <f>+N87+N78</f>
        <v>532257.68110077176</v>
      </c>
    </row>
    <row r="89" spans="1:15" x14ac:dyDescent="0.25">
      <c r="A89" s="168"/>
      <c r="B89" s="144"/>
      <c r="C89" s="135"/>
      <c r="D89" s="146"/>
      <c r="E89" s="144"/>
      <c r="F89" s="144"/>
      <c r="G89" s="197"/>
      <c r="H89" s="198"/>
      <c r="I89" s="198"/>
      <c r="J89" s="199"/>
      <c r="K89" s="200"/>
      <c r="L89" s="220"/>
      <c r="M89" s="219"/>
      <c r="N89" s="219"/>
    </row>
    <row r="90" spans="1:15" ht="22.5" x14ac:dyDescent="0.25">
      <c r="A90" s="168"/>
      <c r="B90" s="144"/>
      <c r="C90" s="135"/>
      <c r="D90" s="146"/>
      <c r="E90" s="144"/>
      <c r="F90" s="144"/>
      <c r="G90" s="197"/>
      <c r="H90" s="198"/>
      <c r="I90" s="198"/>
      <c r="J90" s="199"/>
      <c r="K90" s="200"/>
      <c r="L90" s="201"/>
      <c r="M90" s="80" t="s">
        <v>623</v>
      </c>
      <c r="N90" s="80" t="s">
        <v>624</v>
      </c>
    </row>
    <row r="91" spans="1:15" x14ac:dyDescent="0.25">
      <c r="A91" s="168"/>
      <c r="B91" s="144"/>
      <c r="C91" s="135"/>
      <c r="D91" s="146"/>
      <c r="E91" s="144"/>
      <c r="F91" s="144"/>
      <c r="G91" s="197"/>
      <c r="H91" s="198"/>
      <c r="I91" s="198"/>
      <c r="J91" s="199"/>
      <c r="K91" s="200"/>
      <c r="L91" s="202" t="s">
        <v>651</v>
      </c>
      <c r="M91" s="219">
        <f>+M88+P71</f>
        <v>802804.87243649911</v>
      </c>
      <c r="N91" s="219">
        <f>+N88+L71</f>
        <v>602103.6543273743</v>
      </c>
    </row>
    <row r="92" spans="1:15" ht="12" x14ac:dyDescent="0.25">
      <c r="A92" s="1"/>
      <c r="B92" s="1"/>
      <c r="C92" s="1"/>
      <c r="D92" s="1"/>
      <c r="E92" s="1"/>
      <c r="F92" s="1"/>
      <c r="G92" s="1"/>
      <c r="H92" s="214"/>
      <c r="I92" s="214"/>
      <c r="J92" s="214"/>
      <c r="K92" s="215"/>
      <c r="L92" s="216"/>
      <c r="M92" s="217"/>
      <c r="N92" s="218"/>
    </row>
    <row r="93" spans="1:15" ht="12" x14ac:dyDescent="0.25">
      <c r="A93" s="1"/>
      <c r="B93" s="1"/>
      <c r="C93" s="1"/>
      <c r="D93" s="1"/>
      <c r="E93" s="1"/>
      <c r="F93" s="1"/>
      <c r="G93" s="1"/>
      <c r="H93" s="214"/>
      <c r="I93" s="214"/>
      <c r="J93" s="214"/>
      <c r="K93" s="215"/>
      <c r="L93" s="216"/>
      <c r="M93" s="217"/>
      <c r="N93" s="218"/>
      <c r="O93" s="1"/>
    </row>
    <row r="94" spans="1:15" x14ac:dyDescent="0.25">
      <c r="A94" s="247" t="str" cm="1">
        <f t="array" aca="1" ref="A94" ca="1">CONCATENATE("R:\SalesInfo\Pricing Lists and Modules\ACS SaaS\",_xlfn.TEXTAFTER(_xlfn.TEXTBEFORE(CELL("filename"),"]"),"["))</f>
        <v>R:\SalesInfo\Pricing Lists and Modules\ACS SaaS\New_Confidential Parabit Private-Public Cloud On-Prem ACS Enterprise Tiered Software Quote Form_Rev_06-22-26.xlsx</v>
      </c>
      <c r="B94" s="247"/>
      <c r="C94" s="247"/>
      <c r="D94" s="247"/>
      <c r="E94" s="247"/>
      <c r="F94" s="247"/>
      <c r="G94" s="247"/>
      <c r="H94" s="247"/>
      <c r="I94" s="247"/>
      <c r="J94" s="247"/>
      <c r="K94" s="247"/>
      <c r="L94" s="247"/>
      <c r="M94" s="247"/>
      <c r="N94" s="247"/>
      <c r="O94" s="1"/>
    </row>
    <row r="95" spans="1:15" x14ac:dyDescent="0.25">
      <c r="A95" s="26"/>
      <c r="I95" s="8"/>
      <c r="L95" s="31"/>
      <c r="M95" s="8"/>
      <c r="N95" s="8"/>
      <c r="O95" s="1"/>
    </row>
  </sheetData>
  <sheetProtection formatCells="0" formatColumns="0" formatRows="0" sort="0" pivotTables="0"/>
  <mergeCells count="1">
    <mergeCell ref="A94:N94"/>
  </mergeCells>
  <conditionalFormatting sqref="A64">
    <cfRule type="duplicateValues" dxfId="30" priority="25"/>
  </conditionalFormatting>
  <conditionalFormatting sqref="A71">
    <cfRule type="duplicateValues" dxfId="29" priority="22"/>
  </conditionalFormatting>
  <conditionalFormatting sqref="A78">
    <cfRule type="duplicateValues" dxfId="28" priority="16"/>
  </conditionalFormatting>
  <conditionalFormatting sqref="A83">
    <cfRule type="duplicateValues" dxfId="27" priority="2"/>
  </conditionalFormatting>
  <conditionalFormatting sqref="A87:A91">
    <cfRule type="duplicateValues" dxfId="26" priority="6"/>
  </conditionalFormatting>
  <conditionalFormatting sqref="A92:A1048576 A84:A86 A65:A70 A72:A77 A79:A82 A1:A63">
    <cfRule type="duplicateValues" dxfId="25" priority="51"/>
  </conditionalFormatting>
  <conditionalFormatting sqref="A78:B78 A44:P55">
    <cfRule type="expression" dxfId="24" priority="17">
      <formula>"FIND(""Total"",C:C)"</formula>
    </cfRule>
  </conditionalFormatting>
  <conditionalFormatting sqref="A87:C91 D87:O89 O87:O92 D91:O91">
    <cfRule type="expression" dxfId="23" priority="7">
      <formula>"FIND(""Total"",C:C)"</formula>
    </cfRule>
  </conditionalFormatting>
  <conditionalFormatting sqref="A83:H83">
    <cfRule type="expression" dxfId="22" priority="3">
      <formula>"FIND(""Total"",C:C)"</formula>
    </cfRule>
  </conditionalFormatting>
  <conditionalFormatting sqref="A71:L71">
    <cfRule type="expression" dxfId="21" priority="23">
      <formula>"FIND(""Total"",C:C)"</formula>
    </cfRule>
  </conditionalFormatting>
  <conditionalFormatting sqref="A62:N62 A75:N77 A79:O82">
    <cfRule type="expression" dxfId="20" priority="38">
      <formula>"FIND(""Total"",C:C)"</formula>
    </cfRule>
  </conditionalFormatting>
  <conditionalFormatting sqref="A96:O1048576">
    <cfRule type="expression" dxfId="19" priority="79">
      <formula>"FIND(""Total"",C:C)"</formula>
    </cfRule>
  </conditionalFormatting>
  <conditionalFormatting sqref="A1:P34 A35:C42 A43:P43 A74:D74 A84:C86 A92:G93 A94 A95:N95">
    <cfRule type="expression" dxfId="18" priority="70">
      <formula>"FIND(""Total"",C:C)"</formula>
    </cfRule>
  </conditionalFormatting>
  <conditionalFormatting sqref="A56:P61 A63:O63 A65:O66 A65:C70 A72:C72 A73:O73">
    <cfRule type="expression" dxfId="17" priority="60">
      <formula>"FIND(""Total"",C:C)"</formula>
    </cfRule>
  </conditionalFormatting>
  <conditionalFormatting sqref="A64:P64">
    <cfRule type="expression" dxfId="16" priority="26">
      <formula>"FIND(""Total"",C:C)"</formula>
    </cfRule>
  </conditionalFormatting>
  <conditionalFormatting sqref="C78:O78">
    <cfRule type="expression" dxfId="15" priority="13">
      <formula>"FIND(""Total"",C:C)"</formula>
    </cfRule>
  </conditionalFormatting>
  <conditionalFormatting sqref="D84:N86">
    <cfRule type="expression" dxfId="14" priority="43">
      <formula>"FIND(""Total"",C:C)"</formula>
    </cfRule>
  </conditionalFormatting>
  <conditionalFormatting sqref="D35:P42">
    <cfRule type="expression" dxfId="13" priority="47">
      <formula>"FIND(""Total"",C:C)"</formula>
    </cfRule>
  </conditionalFormatting>
  <conditionalFormatting sqref="D90:P90">
    <cfRule type="expression" dxfId="12" priority="4">
      <formula>"FIND(""Total"",C:C)"</formula>
    </cfRule>
  </conditionalFormatting>
  <conditionalFormatting sqref="D69:Q70">
    <cfRule type="expression" dxfId="11" priority="24">
      <formula>"FIND(""Total"",C:C)"</formula>
    </cfRule>
  </conditionalFormatting>
  <conditionalFormatting sqref="D72:Q72">
    <cfRule type="expression" dxfId="10" priority="32">
      <formula>"FIND(""Total"",C:C)"</formula>
    </cfRule>
  </conditionalFormatting>
  <conditionalFormatting sqref="E74:N74">
    <cfRule type="expression" dxfId="9" priority="19">
      <formula>"FIND(""Total"",C:C)"</formula>
    </cfRule>
  </conditionalFormatting>
  <conditionalFormatting sqref="H92:N93">
    <cfRule type="expression" dxfId="8" priority="28">
      <formula>"FIND(""Total"",C:C)"</formula>
    </cfRule>
  </conditionalFormatting>
  <conditionalFormatting sqref="I83:O83">
    <cfRule type="expression" dxfId="7" priority="1">
      <formula>"FIND(""Total"",C:C)"</formula>
    </cfRule>
  </conditionalFormatting>
  <conditionalFormatting sqref="M71:P71">
    <cfRule type="expression" dxfId="6" priority="20">
      <formula>"FIND(""Total"",C:C)"</formula>
    </cfRule>
  </conditionalFormatting>
  <conditionalFormatting sqref="P62:P63 D65:P68">
    <cfRule type="expression" dxfId="5" priority="34">
      <formula>"FIND(""Total"",C:C)"</formula>
    </cfRule>
  </conditionalFormatting>
  <dataValidations count="1">
    <dataValidation allowBlank="1" showInputMessage="1" showErrorMessage="1" promptTitle="Total Number of Instances" prompt="From Detail Software Sheet total number of Production and Fail-Over instances" sqref="L75" xr:uid="{C4B95DF7-689C-4298-8B1E-8777B1D81B93}"/>
  </dataValidations>
  <printOptions verticalCentered="1"/>
  <pageMargins left="0.25" right="0.25" top="1" bottom="0.5" header="0.3" footer="0.3"/>
  <pageSetup scale="76" fitToHeight="7" orientation="landscape" r:id="rId1"/>
  <headerFooter scaleWithDoc="0" alignWithMargins="0">
    <oddFooter>&amp;RPage &amp;P of &amp;N</oddFooter>
  </headerFooter>
  <rowBreaks count="1" manualBreakCount="1">
    <brk id="72" max="16383" man="1"/>
  </rowBreaks>
  <extLst>
    <ext xmlns:x14="http://schemas.microsoft.com/office/spreadsheetml/2009/9/main" uri="{CCE6A557-97BC-4b89-ADB6-D9C93CAAB3DF}">
      <x14:dataValidations xmlns:xm="http://schemas.microsoft.com/office/excel/2006/main" count="1">
        <x14:dataValidation type="list" allowBlank="1" showInputMessage="1" showErrorMessage="1" promptTitle="Gategory List" prompt="Select Category List" xr:uid="{0A3A16CE-2ADB-40A1-9D67-8A6F8368E2FB}">
          <x14:formula1>
            <xm:f>Category_list!$A:$A</xm:f>
          </x14:formula1>
          <xm:sqref>C2 C72 C30:C33 C6:C18 C35:C42 C20:C28 C75:C78 C64 C67:C70 C84:C91 C44:C55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47F16-809F-4ACD-9022-95D683CB1E03}">
  <sheetPr codeName="Sheet6"/>
  <dimension ref="A1:I106"/>
  <sheetViews>
    <sheetView zoomScale="150" zoomScaleNormal="150" workbookViewId="0">
      <pane xSplit="1" ySplit="6" topLeftCell="B7" activePane="bottomRight" state="frozen"/>
      <selection pane="topRight" activeCell="B1" sqref="B1"/>
      <selection pane="bottomLeft" activeCell="A5" sqref="A5"/>
      <selection pane="bottomRight" activeCell="H6" sqref="H6"/>
    </sheetView>
  </sheetViews>
  <sheetFormatPr defaultRowHeight="15" customHeight="1" x14ac:dyDescent="0.2"/>
  <cols>
    <col min="1" max="1" width="47" style="1" customWidth="1"/>
    <col min="2" max="2" width="9.42578125" style="7" customWidth="1"/>
    <col min="3" max="3" width="10.140625" style="7" bestFit="1" customWidth="1"/>
    <col min="4" max="4" width="9.42578125" style="116" customWidth="1"/>
    <col min="5" max="5" width="8.5703125" style="7" customWidth="1"/>
    <col min="6" max="6" width="9.85546875" style="7" customWidth="1"/>
    <col min="7" max="7" width="8.7109375" style="116" bestFit="1" customWidth="1"/>
    <col min="8" max="8" width="10.85546875" style="116" bestFit="1" customWidth="1"/>
    <col min="9" max="9" width="11.85546875" style="223" customWidth="1"/>
    <col min="10" max="16384" width="9.140625" style="224"/>
  </cols>
  <sheetData>
    <row r="1" spans="1:9" ht="15" customHeight="1" x14ac:dyDescent="0.2">
      <c r="A1" s="248" t="str">
        <f>CONCATENATE("Confidential Parabit Private-Public Cloud On-Premise ACS Enterprise Tiered Software Quote for ",'Proposal Form Tier 2-12'!B2)</f>
        <v>Confidential Parabit Private-Public Cloud On-Premise ACS Enterprise Tiered Software Quote for Bank of America</v>
      </c>
      <c r="B1" s="248"/>
      <c r="C1" s="248"/>
      <c r="D1" s="248"/>
      <c r="E1" s="248"/>
      <c r="F1" s="248"/>
      <c r="G1" s="248"/>
      <c r="H1" s="222"/>
    </row>
    <row r="2" spans="1:9" ht="15" customHeight="1" x14ac:dyDescent="0.2">
      <c r="A2" s="248" t="s">
        <v>139</v>
      </c>
      <c r="B2" s="248"/>
      <c r="C2" s="248"/>
      <c r="D2" s="248"/>
      <c r="E2" s="248"/>
      <c r="F2" s="248"/>
      <c r="G2" s="248"/>
      <c r="H2" s="226"/>
    </row>
    <row r="3" spans="1:9" ht="15" customHeight="1" x14ac:dyDescent="0.2">
      <c r="A3" s="248" t="s">
        <v>140</v>
      </c>
      <c r="B3" s="248"/>
      <c r="C3" s="248"/>
      <c r="D3" s="248"/>
      <c r="E3" s="248"/>
      <c r="F3" s="248"/>
      <c r="G3" s="248"/>
      <c r="H3" s="226"/>
      <c r="I3" s="226"/>
    </row>
    <row r="4" spans="1:9" ht="15" customHeight="1" x14ac:dyDescent="0.2">
      <c r="A4" s="235"/>
      <c r="B4" s="235"/>
      <c r="C4" s="235"/>
      <c r="D4" s="235"/>
      <c r="E4" s="235"/>
      <c r="F4" s="236" t="s">
        <v>427</v>
      </c>
      <c r="G4" s="236" t="s">
        <v>569</v>
      </c>
      <c r="H4" s="226"/>
      <c r="I4" s="226"/>
    </row>
    <row r="5" spans="1:9" ht="33.75" x14ac:dyDescent="0.2">
      <c r="A5" s="221"/>
      <c r="B5" s="225"/>
      <c r="C5" s="225"/>
      <c r="D5" s="226"/>
      <c r="E5" s="226"/>
      <c r="F5" s="236" t="str">
        <f>+'Proposal Form Tier 2-12'!B15</f>
        <v>Securitas Technology Co.</v>
      </c>
      <c r="G5" s="236" t="str">
        <f>+'Proposal Form Tier 2-12'!B2</f>
        <v>Bank of America</v>
      </c>
      <c r="H5" s="226"/>
      <c r="I5" s="226"/>
    </row>
    <row r="6" spans="1:9" ht="66" customHeight="1" x14ac:dyDescent="0.2">
      <c r="A6" s="33" t="s">
        <v>119</v>
      </c>
      <c r="B6" s="80" t="str">
        <f>+'Detail_Proposal_tier 2-12'!I1</f>
        <v>Tier 11 - 2001 - 3000 Quantity of Primary Production Instance(s)</v>
      </c>
      <c r="C6" s="113" t="str">
        <f>+'Detail_Proposal_tier 2-12'!J1</f>
        <v>Tier 11 - 2001 - 3000 Total Annual Primary Instance(s) Pricing</v>
      </c>
      <c r="D6" s="80" t="str">
        <f>+'Detail_Proposal_tier 2-12'!K1</f>
        <v>Tier 11 - 2001 - 3000 Total Annual Fail-Over/DR Instance(s) Pricing</v>
      </c>
      <c r="E6" s="80" t="str">
        <f>+'Detail_Proposal_tier 2-12'!L1</f>
        <v>Tier 11 - 2001 - 3000 Total Quantity of Annual Fail-Over/DR Instance(s)</v>
      </c>
      <c r="F6" s="80" t="s">
        <v>661</v>
      </c>
      <c r="G6" s="80" t="s">
        <v>662</v>
      </c>
      <c r="H6" s="224"/>
      <c r="I6" s="224"/>
    </row>
    <row r="7" spans="1:9" ht="11.25" x14ac:dyDescent="0.2">
      <c r="A7" s="41" t="s">
        <v>114</v>
      </c>
      <c r="B7" s="9">
        <f ca="1">SUMIF('Detail_Proposal_tier 2-12'!$C:$L,$A7,'Detail_Proposal_tier 2-12'!I:I)</f>
        <v>3</v>
      </c>
      <c r="C7" s="114">
        <f ca="1">SUMIF('Detail_Proposal_tier 2-12'!$C:$L,$A7,'Detail_Proposal_tier 2-12'!J:J)</f>
        <v>9618.75</v>
      </c>
      <c r="D7" s="9">
        <f ca="1">SUMIF('Detail_Proposal_tier 2-12'!$C:$L,$A7,'Detail_Proposal_tier 2-12'!L:L)</f>
        <v>3</v>
      </c>
      <c r="E7" s="114">
        <f ca="1">SUMIF('Detail_Proposal_tier 2-12'!$C:$L,$A7,'Detail_Proposal_tier 2-12'!K:K)</f>
        <v>4809.375</v>
      </c>
      <c r="F7" s="114">
        <f ca="1">+E7+C7</f>
        <v>14428.125</v>
      </c>
      <c r="G7" s="114">
        <f ca="1">SUMIF('Detail_Proposal_tier 2-12'!$C:$L,$A7,'Detail_Proposal_tier 2-12'!P:P)</f>
        <v>19237.5</v>
      </c>
      <c r="H7" s="224"/>
      <c r="I7" s="224"/>
    </row>
    <row r="8" spans="1:9" ht="15" customHeight="1" x14ac:dyDescent="0.2">
      <c r="A8" s="41" t="s">
        <v>115</v>
      </c>
      <c r="B8" s="9">
        <f ca="1">SUMIF('Detail_Proposal_tier 2-12'!$C:$L,$A8,'Detail_Proposal_tier 2-12'!I:I)</f>
        <v>4</v>
      </c>
      <c r="C8" s="114">
        <f ca="1">SUMIF('Detail_Proposal_tier 2-12'!$C:$L,$A8,'Detail_Proposal_tier 2-12'!J:J)</f>
        <v>2315.625</v>
      </c>
      <c r="D8" s="9">
        <f ca="1">SUMIF('Detail_Proposal_tier 2-12'!$C:$L,$A8,'Detail_Proposal_tier 2-12'!L:L)</f>
        <v>4</v>
      </c>
      <c r="E8" s="114">
        <f ca="1">SUMIF('Detail_Proposal_tier 2-12'!$C:$L,$A8,'Detail_Proposal_tier 2-12'!K:K)</f>
        <v>1157.8125</v>
      </c>
      <c r="F8" s="114">
        <f ca="1">+E8+C8</f>
        <v>3473.4375</v>
      </c>
      <c r="G8" s="114">
        <f ca="1">SUMIF('Detail_Proposal_tier 2-12'!$C:$L,$A8,'Detail_Proposal_tier 2-12'!P:P)</f>
        <v>4631.25</v>
      </c>
      <c r="H8" s="224"/>
      <c r="I8" s="224"/>
    </row>
    <row r="9" spans="1:9" ht="22.5" x14ac:dyDescent="0.2">
      <c r="A9" s="41" t="s">
        <v>117</v>
      </c>
      <c r="B9" s="9">
        <f ca="1">SUMIF('Detail_Proposal_tier 2-12'!$C:$L,$A9,'Detail_Proposal_tier 2-12'!I:I)</f>
        <v>3</v>
      </c>
      <c r="C9" s="114">
        <f ca="1">SUMIF('Detail_Proposal_tier 2-12'!$C:$L,$A9,'Detail_Proposal_tier 2-12'!J:J)</f>
        <v>1781.25</v>
      </c>
      <c r="D9" s="9">
        <f ca="1">SUMIF('Detail_Proposal_tier 2-12'!$C:$L,$A9,'Detail_Proposal_tier 2-12'!L:L)</f>
        <v>3</v>
      </c>
      <c r="E9" s="114">
        <f ca="1">SUMIF('Detail_Proposal_tier 2-12'!$C:$L,$A9,'Detail_Proposal_tier 2-12'!K:K)</f>
        <v>890.625</v>
      </c>
      <c r="F9" s="114">
        <f ca="1">+E9+C9</f>
        <v>2671.875</v>
      </c>
      <c r="G9" s="114">
        <f ca="1">SUMIF('Detail_Proposal_tier 2-12'!$C:$L,$A9,'Detail_Proposal_tier 2-12'!P:P)</f>
        <v>3562.5</v>
      </c>
      <c r="H9" s="224"/>
      <c r="I9" s="224"/>
    </row>
    <row r="10" spans="1:9" ht="22.5" x14ac:dyDescent="0.2">
      <c r="A10" s="41" t="s">
        <v>116</v>
      </c>
      <c r="B10" s="9">
        <f ca="1">SUMIF('Detail_Proposal_tier 2-12'!$C:$L,$A10,'Detail_Proposal_tier 2-12'!I:I)</f>
        <v>7</v>
      </c>
      <c r="C10" s="114">
        <f ca="1">SUMIF('Detail_Proposal_tier 2-12'!$C:$L,$A10,'Detail_Proposal_tier 2-12'!J:J)</f>
        <v>3384.375</v>
      </c>
      <c r="D10" s="9">
        <f ca="1">SUMIF('Detail_Proposal_tier 2-12'!$C:$L,$A10,'Detail_Proposal_tier 2-12'!L:L)</f>
        <v>7</v>
      </c>
      <c r="E10" s="114">
        <f ca="1">SUMIF('Detail_Proposal_tier 2-12'!$C:$L,$A10,'Detail_Proposal_tier 2-12'!K:K)</f>
        <v>1692.1875</v>
      </c>
      <c r="F10" s="114">
        <f ca="1">+E10+C10</f>
        <v>5076.5625</v>
      </c>
      <c r="G10" s="114">
        <f ca="1">SUMIF('Detail_Proposal_tier 2-12'!$C:$L,$A10,'Detail_Proposal_tier 2-12'!P:P)</f>
        <v>6768.75</v>
      </c>
      <c r="H10" s="224"/>
      <c r="I10" s="224"/>
    </row>
    <row r="11" spans="1:9" ht="22.5" x14ac:dyDescent="0.2">
      <c r="A11" s="42" t="s">
        <v>120</v>
      </c>
      <c r="B11" s="9">
        <f ca="1">SUMIF('Detail_Proposal_tier 2-12'!$C:$L,$A11,'Detail_Proposal_tier 2-12'!I:I)</f>
        <v>2</v>
      </c>
      <c r="C11" s="114">
        <f ca="1">SUMIF('Detail_Proposal_tier 2-12'!$C:$L,$A11,'Detail_Proposal_tier 2-12'!J:J)</f>
        <v>890.625</v>
      </c>
      <c r="D11" s="9">
        <f ca="1">SUMIF('Detail_Proposal_tier 2-12'!$C:$L,$A11,'Detail_Proposal_tier 2-12'!L:L)</f>
        <v>2</v>
      </c>
      <c r="E11" s="114">
        <f ca="1">SUMIF('Detail_Proposal_tier 2-12'!$C:$L,$A11,'Detail_Proposal_tier 2-12'!K:K)</f>
        <v>445.3125</v>
      </c>
      <c r="F11" s="114">
        <f ca="1">+E11+C11</f>
        <v>1335.9375</v>
      </c>
      <c r="G11" s="114">
        <f ca="1">SUMIF('Detail_Proposal_tier 2-12'!$C:$L,$A11,'Detail_Proposal_tier 2-12'!P:P)</f>
        <v>1781.25</v>
      </c>
      <c r="H11" s="224"/>
      <c r="I11" s="224"/>
    </row>
    <row r="12" spans="1:9" ht="22.5" x14ac:dyDescent="0.2">
      <c r="A12" s="227" t="s">
        <v>663</v>
      </c>
      <c r="B12" s="228">
        <f ca="1">SUM(B7:B11)</f>
        <v>19</v>
      </c>
      <c r="C12" s="229">
        <f ca="1">SUM(C7:C11)</f>
        <v>17990.625</v>
      </c>
      <c r="D12" s="230">
        <f t="shared" ref="D12:G12" ca="1" si="0">SUM(D7:D11)</f>
        <v>19</v>
      </c>
      <c r="E12" s="229">
        <f t="shared" ca="1" si="0"/>
        <v>8995.3125</v>
      </c>
      <c r="F12" s="229">
        <f t="shared" ca="1" si="0"/>
        <v>26985.9375</v>
      </c>
      <c r="G12" s="229">
        <f t="shared" ca="1" si="0"/>
        <v>35981.25</v>
      </c>
      <c r="H12" s="224"/>
      <c r="I12" s="224"/>
    </row>
    <row r="13" spans="1:9" ht="5.25" customHeight="1" x14ac:dyDescent="0.2">
      <c r="A13" s="34"/>
      <c r="B13" s="18"/>
      <c r="C13" s="20"/>
      <c r="D13" s="18"/>
      <c r="E13" s="20"/>
      <c r="F13" s="20"/>
      <c r="G13" s="20"/>
      <c r="H13" s="224"/>
      <c r="I13" s="224"/>
    </row>
    <row r="14" spans="1:9" ht="22.5" x14ac:dyDescent="0.2">
      <c r="A14" s="181" t="s">
        <v>664</v>
      </c>
      <c r="B14" s="80" t="s">
        <v>1</v>
      </c>
      <c r="C14" s="80" t="s">
        <v>2</v>
      </c>
      <c r="D14" s="80"/>
      <c r="E14" s="80"/>
      <c r="F14" s="80" t="str">
        <f>+F6</f>
        <v>Total Price</v>
      </c>
      <c r="G14" s="80" t="str">
        <f>+G6</f>
        <v>MSRP / Tier Price Total</v>
      </c>
      <c r="H14" s="224"/>
      <c r="I14" s="224"/>
    </row>
    <row r="15" spans="1:9" ht="11.25" x14ac:dyDescent="0.2">
      <c r="A15" s="42" t="s">
        <v>21</v>
      </c>
      <c r="B15" s="9">
        <f ca="1">SUMIF('Detail_Proposal_tier 2-12'!$C:$L,$A15,'Detail_Proposal_tier 2-12'!I:I)</f>
        <v>1</v>
      </c>
      <c r="C15" s="114">
        <f ca="1">SUMIF('Detail_Proposal_tier 2-12'!$C:$L,$A15,'Detail_Proposal_tier 2-12'!J:J)</f>
        <v>19000</v>
      </c>
      <c r="D15" s="9"/>
      <c r="E15" s="114"/>
      <c r="F15" s="114">
        <f ca="1">+E15+C15</f>
        <v>19000</v>
      </c>
      <c r="G15" s="114">
        <f ca="1">SUMIF('Detail_Proposal_tier 2-12'!$C:$L,$A15,'Detail_Proposal_tier 2-12'!P:P)</f>
        <v>25333.333333333332</v>
      </c>
      <c r="H15" s="224"/>
      <c r="I15" s="224"/>
    </row>
    <row r="16" spans="1:9" ht="22.5" x14ac:dyDescent="0.2">
      <c r="A16" s="42" t="s">
        <v>82</v>
      </c>
      <c r="B16" s="9">
        <f ca="1">SUMIF('Detail_Proposal_tier 2-12'!$C:$L,$A16,'Detail_Proposal_tier 2-12'!I:I)</f>
        <v>1</v>
      </c>
      <c r="C16" s="114">
        <f ca="1">SUMIF('Detail_Proposal_tier 2-12'!$C:$L,$A16,'Detail_Proposal_tier 2-12'!J:J)</f>
        <v>2500</v>
      </c>
      <c r="D16" s="9"/>
      <c r="E16" s="114"/>
      <c r="F16" s="114">
        <f ca="1">+E16+C16</f>
        <v>2500</v>
      </c>
      <c r="G16" s="114">
        <f ca="1">SUMIF('Detail_Proposal_tier 2-12'!$C:$L,$A16,'Detail_Proposal_tier 2-12'!P:P)</f>
        <v>3333.3333333333335</v>
      </c>
      <c r="H16" s="224"/>
      <c r="I16" s="224"/>
    </row>
    <row r="17" spans="1:9" ht="11.25" x14ac:dyDescent="0.2">
      <c r="A17" s="42" t="s">
        <v>81</v>
      </c>
      <c r="B17" s="9">
        <f ca="1">SUMIF('Detail_Proposal_tier 2-12'!$C:$L,$A17,'Detail_Proposal_tier 2-12'!I:I)</f>
        <v>2200</v>
      </c>
      <c r="C17" s="114">
        <f ca="1">SUMIF('Detail_Proposal_tier 2-12'!$C:$L,$A17,'Detail_Proposal_tier 2-12'!J:J)</f>
        <v>21278.328445913787</v>
      </c>
      <c r="D17" s="9"/>
      <c r="E17" s="114"/>
      <c r="F17" s="114">
        <f ca="1">+E17+C17</f>
        <v>21278.328445913787</v>
      </c>
      <c r="G17" s="114">
        <f ca="1">SUMIF('Detail_Proposal_tier 2-12'!$C:$L,$A17,'Detail_Proposal_tier 2-12'!P:P)</f>
        <v>28371.104594551714</v>
      </c>
      <c r="H17" s="224"/>
      <c r="I17" s="224"/>
    </row>
    <row r="18" spans="1:9" ht="11.25" x14ac:dyDescent="0.2">
      <c r="A18" s="42" t="s">
        <v>626</v>
      </c>
      <c r="B18" s="9">
        <f ca="1">SUMIF('Detail_Proposal_tier 2-12'!$C:$L,$A18,'Detail_Proposal_tier 2-12'!I:I)</f>
        <v>1</v>
      </c>
      <c r="C18" s="114">
        <f ca="1">SUMIF('Detail_Proposal_tier 2-12'!$C:$L,$A18,'Detail_Proposal_tier 2-12'!J:J)</f>
        <v>81.707280688754679</v>
      </c>
      <c r="D18" s="9"/>
      <c r="E18" s="114"/>
      <c r="F18" s="114">
        <f ca="1">+E18+C18</f>
        <v>81.707280688754679</v>
      </c>
      <c r="G18" s="114">
        <f ca="1">SUMIF('Detail_Proposal_tier 2-12'!$C:$L,$A18,'Detail_Proposal_tier 2-12'!P:P)</f>
        <v>108.94304091833958</v>
      </c>
      <c r="H18" s="224"/>
      <c r="I18" s="224"/>
    </row>
    <row r="19" spans="1:9" ht="24.95" customHeight="1" x14ac:dyDescent="0.2">
      <c r="A19" s="227" t="s">
        <v>665</v>
      </c>
      <c r="B19" s="228"/>
      <c r="C19" s="229">
        <f ca="1">SUM(C15:C18)</f>
        <v>42860.035726602538</v>
      </c>
      <c r="D19" s="230"/>
      <c r="E19" s="229"/>
      <c r="F19" s="229">
        <f t="shared" ref="F19:G19" ca="1" si="1">SUM(F15:F18)</f>
        <v>42860.035726602538</v>
      </c>
      <c r="G19" s="229">
        <f t="shared" ca="1" si="1"/>
        <v>57146.714302136723</v>
      </c>
      <c r="H19" s="224"/>
      <c r="I19" s="224"/>
    </row>
    <row r="20" spans="1:9" ht="5.25" customHeight="1" x14ac:dyDescent="0.2">
      <c r="A20" s="34"/>
      <c r="B20" s="18"/>
      <c r="C20" s="20"/>
      <c r="D20" s="18"/>
      <c r="E20" s="20"/>
      <c r="F20" s="20"/>
      <c r="G20" s="20"/>
      <c r="H20" s="224"/>
      <c r="I20" s="224"/>
    </row>
    <row r="21" spans="1:9" ht="22.5" x14ac:dyDescent="0.2">
      <c r="A21" s="231" t="s">
        <v>666</v>
      </c>
      <c r="B21" s="232"/>
      <c r="C21" s="233">
        <f ca="1">+C19+C12</f>
        <v>60850.660726602538</v>
      </c>
      <c r="D21" s="232"/>
      <c r="E21" s="233">
        <f ca="1">+E19+E12</f>
        <v>8995.3125</v>
      </c>
      <c r="F21" s="233">
        <f ca="1">+F19+F12</f>
        <v>69845.973226602538</v>
      </c>
      <c r="G21" s="233">
        <f ca="1">+G19+G12</f>
        <v>93127.964302136723</v>
      </c>
      <c r="H21" s="224"/>
      <c r="I21" s="224"/>
    </row>
    <row r="22" spans="1:9" ht="15" customHeight="1" x14ac:dyDescent="0.2">
      <c r="A22" s="97" t="s">
        <v>671</v>
      </c>
      <c r="B22" s="62">
        <f>+'Proposal Form Tier 2-12'!$B$16+'Proposal Form Tier 2-12'!$B$14</f>
        <v>0.25</v>
      </c>
      <c r="C22" s="17"/>
      <c r="D22" s="17"/>
      <c r="E22" s="17"/>
      <c r="F22" s="17"/>
      <c r="G22" s="234"/>
      <c r="H22" s="224"/>
      <c r="I22" s="224"/>
    </row>
    <row r="23" spans="1:9" ht="5.25" customHeight="1" x14ac:dyDescent="0.2">
      <c r="A23" s="34"/>
      <c r="B23" s="18"/>
      <c r="C23" s="20"/>
      <c r="D23" s="20"/>
      <c r="E23" s="20"/>
      <c r="F23" s="20"/>
      <c r="G23" s="20"/>
      <c r="H23" s="224"/>
      <c r="I23" s="224"/>
    </row>
    <row r="24" spans="1:9" ht="22.5" x14ac:dyDescent="0.2">
      <c r="A24" s="181" t="s">
        <v>668</v>
      </c>
      <c r="B24" s="80" t="s">
        <v>1</v>
      </c>
      <c r="C24" s="80" t="s">
        <v>2</v>
      </c>
      <c r="D24" s="80"/>
      <c r="E24" s="80"/>
      <c r="F24" s="80" t="str">
        <f>+F14</f>
        <v>Total Price</v>
      </c>
      <c r="G24" s="80" t="str">
        <f>+G14</f>
        <v>MSRP / Tier Price Total</v>
      </c>
      <c r="H24" s="224"/>
      <c r="I24" s="224"/>
    </row>
    <row r="25" spans="1:9" ht="11.25" x14ac:dyDescent="0.2">
      <c r="A25" s="42" t="s">
        <v>660</v>
      </c>
      <c r="B25" s="9">
        <f>SUMIF('Detail_Proposal_tier 2-12'!C$74:C$105,$A25,'Detail_Proposal_tier 2-12'!L$74:L$105)</f>
        <v>38</v>
      </c>
      <c r="C25" s="114">
        <f ca="1">SUMIF('Detail_Proposal_tier 2-12'!C$74:N$105,$A25,'Detail_Proposal_tier 2-12'!N$74:N$105)</f>
        <v>7125</v>
      </c>
      <c r="D25" s="9"/>
      <c r="E25" s="114"/>
      <c r="F25" s="114">
        <f ca="1">+E25+C25</f>
        <v>7125</v>
      </c>
      <c r="G25" s="114">
        <f ca="1">SUMIF('Detail_Proposal_tier 2-12'!C$74:S$105,$A25,'Detail_Proposal_tier 2-12'!M$74:M$105)</f>
        <v>9500</v>
      </c>
      <c r="H25" s="224"/>
      <c r="I25" s="224"/>
    </row>
    <row r="26" spans="1:9" ht="15" customHeight="1" x14ac:dyDescent="0.2">
      <c r="A26" s="42" t="s">
        <v>667</v>
      </c>
      <c r="B26" s="9">
        <f>SUMIF('Detail_Proposal_tier 2-12'!C$74:C$105,$A26,'Detail_Proposal_tier 2-12'!L$74:L$105)</f>
        <v>1</v>
      </c>
      <c r="C26" s="114">
        <f ca="1">SUMIF('Detail_Proposal_tier 2-12'!C$74:N$105,$A26,'Detail_Proposal_tier 2-12'!N$74:N$105)</f>
        <v>694.5</v>
      </c>
      <c r="D26" s="9"/>
      <c r="E26" s="114"/>
      <c r="F26" s="114">
        <f ca="1">+E26+C26</f>
        <v>694.5</v>
      </c>
      <c r="G26" s="114">
        <f ca="1">SUMIF('Detail_Proposal_tier 2-12'!C$74:S$105,$A26,'Detail_Proposal_tier 2-12'!M$74:M$105)</f>
        <v>926</v>
      </c>
      <c r="H26" s="224"/>
      <c r="I26" s="224"/>
    </row>
    <row r="27" spans="1:9" ht="15" customHeight="1" x14ac:dyDescent="0.2">
      <c r="A27" s="42" t="s">
        <v>659</v>
      </c>
      <c r="B27" s="9">
        <f>SUMIF('Detail_Proposal_tier 2-12'!C$74:C$105,$A27,'Detail_Proposal_tier 2-12'!L$74:L$105)</f>
        <v>2200</v>
      </c>
      <c r="C27" s="114">
        <f ca="1">SUMIF('Detail_Proposal_tier 2-12'!C$74:N$105,$A27,'Detail_Proposal_tier 2-12'!N$74:N$105)</f>
        <v>524438.18110077176</v>
      </c>
      <c r="D27" s="9"/>
      <c r="E27" s="114"/>
      <c r="F27" s="114">
        <f ca="1">+E27+C27</f>
        <v>524438.18110077176</v>
      </c>
      <c r="G27" s="114">
        <f ca="1">SUMIF('Detail_Proposal_tier 2-12'!C$74:S$105,$A27,'Detail_Proposal_tier 2-12'!M$74:M$105)</f>
        <v>699250.90813436243</v>
      </c>
      <c r="H27" s="224"/>
      <c r="I27" s="224"/>
    </row>
    <row r="28" spans="1:9" ht="22.5" x14ac:dyDescent="0.2">
      <c r="A28" s="42" t="s">
        <v>658</v>
      </c>
      <c r="B28" s="9">
        <f>SUMIF('Detail_Proposal_tier 2-12'!C$74:C$105,$A28,'Detail_Proposal_tier 2-12'!L$74:L$105)</f>
        <v>0</v>
      </c>
      <c r="C28" s="114">
        <f ca="1">SUMIF('Detail_Proposal_tier 2-12'!C$74:N$105,$A28,'Detail_Proposal_tier 2-12'!N$74:N$105)</f>
        <v>0</v>
      </c>
      <c r="D28" s="9"/>
      <c r="E28" s="114"/>
      <c r="F28" s="114">
        <f ca="1">+E28+C28</f>
        <v>0</v>
      </c>
      <c r="G28" s="114">
        <f ca="1">SUMIF('Detail_Proposal_tier 2-12'!C$74:S$105,$A28,'Detail_Proposal_tier 2-12'!M$74:M$105)</f>
        <v>0</v>
      </c>
      <c r="H28" s="224"/>
      <c r="I28" s="224"/>
    </row>
    <row r="29" spans="1:9" ht="22.5" x14ac:dyDescent="0.2">
      <c r="A29" s="227" t="s">
        <v>669</v>
      </c>
      <c r="B29" s="228"/>
      <c r="C29" s="229">
        <f ca="1">SUM(C25:C28)</f>
        <v>532257.68110077176</v>
      </c>
      <c r="D29" s="230"/>
      <c r="E29" s="229"/>
      <c r="F29" s="229">
        <f ca="1">+E29+C29</f>
        <v>532257.68110077176</v>
      </c>
      <c r="G29" s="229">
        <f ca="1">SUM(G25:G28)</f>
        <v>709676.90813436243</v>
      </c>
      <c r="H29" s="224"/>
      <c r="I29" s="224"/>
    </row>
    <row r="30" spans="1:9" ht="15" customHeight="1" x14ac:dyDescent="0.2">
      <c r="A30" s="97" t="s">
        <v>670</v>
      </c>
      <c r="B30" s="62">
        <f>+'Proposal Form Tier 2-12'!$B$16+'Proposal Form Tier 2-12'!$B$14</f>
        <v>0.25</v>
      </c>
      <c r="C30" s="17"/>
      <c r="D30" s="17"/>
      <c r="E30" s="117"/>
      <c r="F30" s="117"/>
      <c r="G30" s="117"/>
      <c r="H30" s="224"/>
      <c r="I30" s="224"/>
    </row>
    <row r="31" spans="1:9" ht="3.75" customHeight="1" x14ac:dyDescent="0.2">
      <c r="A31" s="36"/>
      <c r="B31" s="22"/>
      <c r="C31" s="23"/>
      <c r="D31" s="24"/>
      <c r="E31" s="23"/>
      <c r="F31" s="23"/>
      <c r="G31" s="23"/>
      <c r="H31" s="224"/>
      <c r="I31" s="224"/>
    </row>
    <row r="32" spans="1:9" ht="11.25" x14ac:dyDescent="0.2">
      <c r="A32" s="231" t="s">
        <v>651</v>
      </c>
      <c r="B32" s="232"/>
      <c r="C32" s="233">
        <f ca="1">+C21+C29</f>
        <v>593108.3418273743</v>
      </c>
      <c r="D32" s="232"/>
      <c r="E32" s="233">
        <f ca="1">+E21+E29</f>
        <v>8995.3125</v>
      </c>
      <c r="F32" s="233">
        <f t="shared" ref="F32:G32" ca="1" si="2">+F21+F29</f>
        <v>602103.6543273743</v>
      </c>
      <c r="G32" s="233">
        <f t="shared" ca="1" si="2"/>
        <v>802804.87243649911</v>
      </c>
      <c r="H32" s="224"/>
      <c r="I32" s="224"/>
    </row>
    <row r="33" spans="1:9" ht="3.75" customHeight="1" x14ac:dyDescent="0.2">
      <c r="A33" s="36"/>
      <c r="B33" s="22"/>
      <c r="C33" s="23"/>
      <c r="D33" s="24"/>
      <c r="E33" s="23"/>
      <c r="F33" s="23"/>
      <c r="G33" s="23"/>
      <c r="H33" s="224"/>
      <c r="I33" s="224"/>
    </row>
    <row r="34" spans="1:9" ht="15" customHeight="1" x14ac:dyDescent="0.2">
      <c r="A34" s="153" t="s">
        <v>142</v>
      </c>
      <c r="B34" s="154"/>
      <c r="C34" s="154"/>
      <c r="D34" s="154"/>
      <c r="E34" s="154"/>
      <c r="F34" s="154"/>
      <c r="G34" s="155"/>
      <c r="H34" s="223"/>
    </row>
    <row r="35" spans="1:9" ht="15" customHeight="1" x14ac:dyDescent="0.2">
      <c r="A35" s="153" t="s">
        <v>143</v>
      </c>
      <c r="B35" s="156"/>
      <c r="C35" s="156"/>
      <c r="D35" s="156"/>
      <c r="E35" s="156"/>
      <c r="F35" s="156"/>
      <c r="G35" s="157"/>
      <c r="H35" s="223"/>
    </row>
    <row r="36" spans="1:9" ht="15" customHeight="1" x14ac:dyDescent="0.2">
      <c r="A36" s="153" t="s">
        <v>141</v>
      </c>
      <c r="B36" s="156"/>
      <c r="C36" s="156"/>
      <c r="D36" s="156"/>
      <c r="E36" s="156"/>
      <c r="F36" s="156"/>
      <c r="G36" s="157"/>
      <c r="H36" s="223"/>
    </row>
    <row r="37" spans="1:9" ht="15" customHeight="1" x14ac:dyDescent="0.2">
      <c r="A37" s="1" t="str" cm="1">
        <f t="array" aca="1" ref="A37" ca="1">CONCATENATE("R:\SalesInfo\Pricing Lists and Modules\ACS SaaS\",_xlfn.TEXTAFTER(_xlfn.TEXTBEFORE(CELL("filename"),"]"),"["))</f>
        <v>R:\SalesInfo\Pricing Lists and Modules\ACS SaaS\New_Confidential Parabit Private-Public Cloud On-Prem ACS Enterprise Tiered Software Quote Form_Rev_06-22-26.xlsx</v>
      </c>
      <c r="B37" s="224"/>
      <c r="C37" s="224"/>
      <c r="D37" s="224"/>
      <c r="E37" s="224"/>
      <c r="F37" s="224"/>
      <c r="G37" s="224"/>
      <c r="H37" s="224"/>
      <c r="I37" s="224"/>
    </row>
    <row r="38" spans="1:9" ht="15" customHeight="1" x14ac:dyDescent="0.2">
      <c r="A38" s="30"/>
      <c r="B38" s="224"/>
      <c r="C38" s="224"/>
      <c r="D38" s="224"/>
      <c r="E38" s="224"/>
      <c r="F38" s="224"/>
      <c r="G38" s="224"/>
      <c r="H38" s="224"/>
      <c r="I38" s="224"/>
    </row>
    <row r="39" spans="1:9" ht="15" customHeight="1" x14ac:dyDescent="0.2">
      <c r="A39" s="30"/>
      <c r="B39" s="32"/>
      <c r="C39" s="32"/>
      <c r="D39" s="115"/>
      <c r="E39" s="32"/>
      <c r="F39" s="32"/>
      <c r="G39" s="115"/>
      <c r="H39" s="115"/>
    </row>
    <row r="40" spans="1:9" ht="15" customHeight="1" x14ac:dyDescent="0.2">
      <c r="A40" s="30"/>
      <c r="B40" s="32"/>
      <c r="C40" s="32"/>
      <c r="D40" s="115"/>
      <c r="E40" s="32"/>
      <c r="F40" s="32"/>
      <c r="G40" s="115"/>
      <c r="H40" s="115"/>
    </row>
    <row r="41" spans="1:9" ht="15" customHeight="1" x14ac:dyDescent="0.2">
      <c r="A41" s="30"/>
      <c r="B41" s="32"/>
      <c r="C41" s="32"/>
      <c r="D41" s="115"/>
      <c r="E41" s="32"/>
      <c r="F41" s="32"/>
      <c r="G41" s="115"/>
      <c r="H41" s="115"/>
    </row>
    <row r="42" spans="1:9" ht="15" customHeight="1" x14ac:dyDescent="0.2">
      <c r="A42" s="30"/>
      <c r="B42" s="32"/>
      <c r="C42" s="32"/>
      <c r="D42" s="115"/>
      <c r="E42" s="32"/>
      <c r="F42" s="32"/>
      <c r="G42" s="115"/>
      <c r="H42" s="115"/>
    </row>
    <row r="43" spans="1:9" ht="15" customHeight="1" x14ac:dyDescent="0.2">
      <c r="A43" s="30"/>
      <c r="B43" s="32"/>
      <c r="C43" s="32"/>
      <c r="D43" s="115"/>
      <c r="E43" s="32"/>
      <c r="F43" s="32"/>
      <c r="G43" s="115"/>
      <c r="H43" s="115"/>
    </row>
    <row r="44" spans="1:9" ht="15" customHeight="1" x14ac:dyDescent="0.2">
      <c r="A44" s="30"/>
      <c r="B44" s="32"/>
      <c r="C44" s="32"/>
      <c r="D44" s="115"/>
      <c r="E44" s="32"/>
      <c r="F44" s="32"/>
      <c r="G44" s="115"/>
      <c r="H44" s="115"/>
    </row>
    <row r="45" spans="1:9" ht="15" customHeight="1" x14ac:dyDescent="0.2">
      <c r="A45" s="30"/>
      <c r="B45" s="32"/>
      <c r="C45" s="32"/>
      <c r="D45" s="115"/>
      <c r="E45" s="32"/>
      <c r="F45" s="32"/>
      <c r="G45" s="115"/>
      <c r="H45" s="115"/>
    </row>
    <row r="46" spans="1:9" ht="15" customHeight="1" x14ac:dyDescent="0.2">
      <c r="A46" s="30"/>
      <c r="B46" s="32"/>
      <c r="C46" s="32"/>
      <c r="D46" s="115"/>
      <c r="E46" s="32"/>
      <c r="F46" s="32"/>
      <c r="G46" s="115"/>
      <c r="H46" s="115"/>
    </row>
    <row r="47" spans="1:9" ht="15" customHeight="1" x14ac:dyDescent="0.2">
      <c r="A47" s="30"/>
      <c r="B47" s="32"/>
      <c r="C47" s="32"/>
      <c r="D47" s="115"/>
      <c r="E47" s="32"/>
      <c r="F47" s="32"/>
      <c r="G47" s="115"/>
      <c r="H47" s="115"/>
    </row>
    <row r="48" spans="1:9" ht="15" customHeight="1" x14ac:dyDescent="0.2">
      <c r="A48" s="30"/>
      <c r="B48" s="32"/>
      <c r="C48" s="32"/>
      <c r="D48" s="115"/>
      <c r="E48" s="32"/>
      <c r="F48" s="32"/>
      <c r="G48" s="115"/>
      <c r="H48" s="115"/>
    </row>
    <row r="49" spans="1:8" ht="15" customHeight="1" x14ac:dyDescent="0.2">
      <c r="A49" s="30"/>
      <c r="B49" s="32"/>
      <c r="C49" s="32"/>
      <c r="D49" s="115"/>
      <c r="E49" s="32"/>
      <c r="F49" s="32"/>
      <c r="G49" s="115"/>
      <c r="H49" s="115"/>
    </row>
    <row r="50" spans="1:8" ht="15" customHeight="1" x14ac:dyDescent="0.2">
      <c r="A50" s="30"/>
      <c r="B50" s="32"/>
      <c r="C50" s="32"/>
      <c r="D50" s="115"/>
      <c r="E50" s="32"/>
      <c r="F50" s="32"/>
      <c r="G50" s="115"/>
      <c r="H50" s="115"/>
    </row>
    <row r="51" spans="1:8" ht="15" customHeight="1" x14ac:dyDescent="0.2">
      <c r="A51" s="30"/>
      <c r="B51" s="32"/>
      <c r="C51" s="32"/>
      <c r="D51" s="115"/>
      <c r="E51" s="32"/>
      <c r="F51" s="32"/>
      <c r="G51" s="115"/>
      <c r="H51" s="115"/>
    </row>
    <row r="52" spans="1:8" ht="15" customHeight="1" x14ac:dyDescent="0.2">
      <c r="A52" s="30"/>
      <c r="B52" s="32"/>
      <c r="C52" s="32"/>
      <c r="D52" s="115"/>
      <c r="E52" s="32"/>
      <c r="F52" s="32"/>
      <c r="G52" s="115"/>
      <c r="H52" s="115"/>
    </row>
    <row r="53" spans="1:8" ht="15" customHeight="1" x14ac:dyDescent="0.2">
      <c r="A53" s="30"/>
      <c r="B53" s="32"/>
      <c r="C53" s="32"/>
      <c r="D53" s="115"/>
      <c r="E53" s="32"/>
      <c r="F53" s="32"/>
      <c r="G53" s="115"/>
      <c r="H53" s="115"/>
    </row>
    <row r="54" spans="1:8" ht="15" customHeight="1" x14ac:dyDescent="0.2">
      <c r="A54" s="30"/>
      <c r="B54" s="32"/>
      <c r="C54" s="32"/>
      <c r="D54" s="115"/>
      <c r="E54" s="32"/>
      <c r="F54" s="32"/>
      <c r="G54" s="115"/>
      <c r="H54" s="115"/>
    </row>
    <row r="55" spans="1:8" ht="15" customHeight="1" x14ac:dyDescent="0.2">
      <c r="A55" s="30"/>
      <c r="B55" s="32"/>
      <c r="C55" s="32"/>
      <c r="D55" s="115"/>
      <c r="E55" s="32"/>
      <c r="F55" s="32"/>
      <c r="G55" s="115"/>
      <c r="H55" s="115"/>
    </row>
    <row r="56" spans="1:8" ht="15" customHeight="1" x14ac:dyDescent="0.2">
      <c r="A56" s="30"/>
      <c r="B56" s="32"/>
      <c r="C56" s="32"/>
      <c r="D56" s="115"/>
      <c r="E56" s="32"/>
      <c r="F56" s="32"/>
      <c r="G56" s="115"/>
      <c r="H56" s="115"/>
    </row>
    <row r="57" spans="1:8" ht="15" customHeight="1" x14ac:dyDescent="0.2">
      <c r="A57" s="30"/>
      <c r="B57" s="32"/>
      <c r="C57" s="32"/>
      <c r="D57" s="115"/>
      <c r="E57" s="32"/>
      <c r="F57" s="32"/>
      <c r="G57" s="115"/>
      <c r="H57" s="115"/>
    </row>
    <row r="58" spans="1:8" ht="15" customHeight="1" x14ac:dyDescent="0.2">
      <c r="A58" s="30"/>
      <c r="B58" s="32"/>
      <c r="C58" s="32"/>
      <c r="D58" s="115"/>
      <c r="E58" s="32"/>
      <c r="F58" s="32"/>
      <c r="G58" s="115"/>
      <c r="H58" s="115"/>
    </row>
    <row r="59" spans="1:8" ht="15" customHeight="1" x14ac:dyDescent="0.2">
      <c r="A59" s="30"/>
      <c r="B59" s="32"/>
      <c r="C59" s="32"/>
      <c r="D59" s="115"/>
      <c r="E59" s="32"/>
      <c r="F59" s="32"/>
      <c r="G59" s="115"/>
      <c r="H59" s="115"/>
    </row>
    <row r="60" spans="1:8" ht="15" customHeight="1" x14ac:dyDescent="0.2">
      <c r="A60" s="30"/>
      <c r="B60" s="32"/>
      <c r="C60" s="32"/>
      <c r="D60" s="115"/>
      <c r="E60" s="32"/>
      <c r="F60" s="32"/>
      <c r="G60" s="115"/>
      <c r="H60" s="115"/>
    </row>
    <row r="61" spans="1:8" ht="15" customHeight="1" x14ac:dyDescent="0.2">
      <c r="A61" s="30"/>
      <c r="B61" s="32"/>
      <c r="C61" s="32"/>
      <c r="D61" s="115"/>
      <c r="E61" s="32"/>
      <c r="F61" s="32"/>
      <c r="G61" s="115"/>
      <c r="H61" s="115"/>
    </row>
    <row r="62" spans="1:8" ht="15" customHeight="1" x14ac:dyDescent="0.2">
      <c r="A62" s="30"/>
      <c r="B62" s="32"/>
      <c r="C62" s="32"/>
      <c r="D62" s="115"/>
      <c r="E62" s="32"/>
      <c r="F62" s="32"/>
      <c r="G62" s="115"/>
      <c r="H62" s="115"/>
    </row>
    <row r="63" spans="1:8" ht="15" customHeight="1" x14ac:dyDescent="0.2">
      <c r="A63" s="30"/>
      <c r="B63" s="32"/>
      <c r="C63" s="32"/>
      <c r="D63" s="115"/>
      <c r="E63" s="32"/>
      <c r="F63" s="32"/>
      <c r="G63" s="115"/>
      <c r="H63" s="115"/>
    </row>
    <row r="64" spans="1:8" ht="15" customHeight="1" x14ac:dyDescent="0.2">
      <c r="A64" s="30"/>
      <c r="B64" s="32"/>
      <c r="C64" s="32"/>
      <c r="D64" s="115"/>
      <c r="E64" s="32"/>
      <c r="F64" s="32"/>
      <c r="G64" s="115"/>
      <c r="H64" s="115"/>
    </row>
    <row r="65" spans="1:8" ht="15" customHeight="1" x14ac:dyDescent="0.2">
      <c r="A65" s="30"/>
      <c r="B65" s="32"/>
      <c r="C65" s="32"/>
      <c r="D65" s="115"/>
      <c r="E65" s="32"/>
      <c r="F65" s="32"/>
      <c r="G65" s="115"/>
      <c r="H65" s="115"/>
    </row>
    <row r="66" spans="1:8" ht="15" customHeight="1" x14ac:dyDescent="0.2">
      <c r="A66" s="30"/>
      <c r="B66" s="32"/>
      <c r="C66" s="32"/>
      <c r="D66" s="115"/>
      <c r="E66" s="32"/>
      <c r="F66" s="32"/>
      <c r="G66" s="115"/>
      <c r="H66" s="115"/>
    </row>
    <row r="67" spans="1:8" ht="15" customHeight="1" x14ac:dyDescent="0.2">
      <c r="A67" s="30"/>
      <c r="B67" s="32"/>
      <c r="C67" s="32"/>
      <c r="D67" s="115"/>
      <c r="E67" s="32"/>
      <c r="F67" s="32"/>
      <c r="G67" s="115"/>
      <c r="H67" s="115"/>
    </row>
    <row r="68" spans="1:8" ht="15" customHeight="1" x14ac:dyDescent="0.2">
      <c r="A68" s="30"/>
      <c r="B68" s="32"/>
      <c r="C68" s="32"/>
      <c r="D68" s="115"/>
      <c r="E68" s="32"/>
      <c r="F68" s="32"/>
      <c r="G68" s="115"/>
      <c r="H68" s="115"/>
    </row>
    <row r="69" spans="1:8" ht="15" customHeight="1" x14ac:dyDescent="0.2">
      <c r="A69" s="30"/>
      <c r="B69" s="32"/>
      <c r="C69" s="32"/>
      <c r="D69" s="115"/>
      <c r="E69" s="32"/>
      <c r="F69" s="32"/>
      <c r="G69" s="115"/>
      <c r="H69" s="115"/>
    </row>
    <row r="70" spans="1:8" ht="15" customHeight="1" x14ac:dyDescent="0.2">
      <c r="A70" s="30"/>
      <c r="B70" s="32"/>
      <c r="C70" s="32"/>
      <c r="D70" s="115"/>
      <c r="E70" s="32"/>
      <c r="F70" s="32"/>
      <c r="G70" s="115"/>
      <c r="H70" s="115"/>
    </row>
    <row r="71" spans="1:8" ht="15" customHeight="1" x14ac:dyDescent="0.2">
      <c r="A71" s="30"/>
      <c r="B71" s="32"/>
      <c r="C71" s="32"/>
      <c r="D71" s="115"/>
      <c r="E71" s="32"/>
      <c r="F71" s="32"/>
      <c r="G71" s="115"/>
      <c r="H71" s="115"/>
    </row>
    <row r="72" spans="1:8" ht="15" customHeight="1" x14ac:dyDescent="0.2">
      <c r="A72" s="30"/>
      <c r="B72" s="32"/>
      <c r="C72" s="32"/>
      <c r="D72" s="115"/>
      <c r="E72" s="32"/>
      <c r="F72" s="32"/>
      <c r="G72" s="115"/>
      <c r="H72" s="115"/>
    </row>
    <row r="73" spans="1:8" ht="15" customHeight="1" x14ac:dyDescent="0.2">
      <c r="A73" s="30"/>
      <c r="B73" s="32"/>
      <c r="C73" s="32"/>
      <c r="D73" s="115"/>
      <c r="E73" s="32"/>
      <c r="F73" s="32"/>
      <c r="G73" s="115"/>
      <c r="H73" s="115"/>
    </row>
    <row r="74" spans="1:8" ht="15" customHeight="1" x14ac:dyDescent="0.2">
      <c r="A74" s="30"/>
      <c r="B74" s="32"/>
      <c r="C74" s="32"/>
      <c r="D74" s="115"/>
      <c r="E74" s="32"/>
      <c r="F74" s="32"/>
      <c r="G74" s="115"/>
      <c r="H74" s="115"/>
    </row>
    <row r="75" spans="1:8" ht="15" customHeight="1" x14ac:dyDescent="0.2">
      <c r="A75" s="30"/>
      <c r="B75" s="32"/>
      <c r="C75" s="32"/>
      <c r="D75" s="115"/>
      <c r="E75" s="32"/>
      <c r="F75" s="32"/>
      <c r="G75" s="115"/>
      <c r="H75" s="115"/>
    </row>
    <row r="76" spans="1:8" ht="15" customHeight="1" x14ac:dyDescent="0.2">
      <c r="A76" s="30"/>
      <c r="B76" s="32"/>
      <c r="C76" s="32"/>
      <c r="D76" s="115"/>
      <c r="E76" s="32"/>
      <c r="F76" s="32"/>
      <c r="G76" s="115"/>
      <c r="H76" s="115"/>
    </row>
    <row r="77" spans="1:8" ht="15" customHeight="1" x14ac:dyDescent="0.2">
      <c r="A77" s="30"/>
      <c r="B77" s="32"/>
      <c r="C77" s="32"/>
      <c r="D77" s="115"/>
      <c r="E77" s="32"/>
      <c r="F77" s="32"/>
      <c r="G77" s="115"/>
      <c r="H77" s="115"/>
    </row>
    <row r="78" spans="1:8" ht="15" customHeight="1" x14ac:dyDescent="0.2">
      <c r="A78" s="30"/>
      <c r="B78" s="32"/>
      <c r="C78" s="32"/>
      <c r="D78" s="115"/>
      <c r="E78" s="32"/>
      <c r="F78" s="32"/>
      <c r="G78" s="115"/>
      <c r="H78" s="115"/>
    </row>
    <row r="79" spans="1:8" ht="15" customHeight="1" x14ac:dyDescent="0.2">
      <c r="A79" s="30"/>
      <c r="B79" s="32"/>
      <c r="C79" s="32"/>
      <c r="D79" s="115"/>
      <c r="E79" s="32"/>
      <c r="F79" s="32"/>
      <c r="G79" s="115"/>
      <c r="H79" s="115"/>
    </row>
    <row r="80" spans="1:8" ht="15" customHeight="1" x14ac:dyDescent="0.2">
      <c r="A80" s="30"/>
      <c r="B80" s="32"/>
      <c r="C80" s="32"/>
      <c r="D80" s="115"/>
      <c r="E80" s="32"/>
      <c r="F80" s="32"/>
      <c r="G80" s="115"/>
      <c r="H80" s="115"/>
    </row>
    <row r="81" spans="1:8" ht="15" customHeight="1" x14ac:dyDescent="0.2">
      <c r="A81" s="30"/>
      <c r="B81" s="32"/>
      <c r="C81" s="32"/>
      <c r="D81" s="115"/>
      <c r="E81" s="32"/>
      <c r="F81" s="32"/>
      <c r="G81" s="115"/>
      <c r="H81" s="115"/>
    </row>
    <row r="82" spans="1:8" ht="15" customHeight="1" x14ac:dyDescent="0.2">
      <c r="A82" s="30"/>
      <c r="B82" s="32"/>
      <c r="C82" s="32"/>
      <c r="D82" s="115"/>
      <c r="E82" s="32"/>
      <c r="F82" s="32"/>
      <c r="G82" s="115"/>
      <c r="H82" s="115"/>
    </row>
    <row r="83" spans="1:8" ht="15" customHeight="1" x14ac:dyDescent="0.2">
      <c r="A83" s="30"/>
      <c r="B83" s="32"/>
      <c r="C83" s="32"/>
      <c r="D83" s="115"/>
      <c r="E83" s="32"/>
      <c r="F83" s="32"/>
      <c r="G83" s="115"/>
      <c r="H83" s="115"/>
    </row>
    <row r="84" spans="1:8" ht="15" customHeight="1" x14ac:dyDescent="0.2">
      <c r="A84" s="30"/>
      <c r="B84" s="32"/>
      <c r="C84" s="32"/>
      <c r="D84" s="115"/>
      <c r="E84" s="32"/>
      <c r="F84" s="32"/>
      <c r="G84" s="115"/>
      <c r="H84" s="115"/>
    </row>
    <row r="85" spans="1:8" ht="15" customHeight="1" x14ac:dyDescent="0.2">
      <c r="A85" s="30"/>
      <c r="B85" s="32"/>
      <c r="C85" s="32"/>
      <c r="D85" s="115"/>
      <c r="E85" s="32"/>
      <c r="F85" s="32"/>
      <c r="G85" s="115"/>
      <c r="H85" s="115"/>
    </row>
    <row r="86" spans="1:8" ht="15" customHeight="1" x14ac:dyDescent="0.2">
      <c r="A86" s="30"/>
      <c r="B86" s="32"/>
      <c r="C86" s="32"/>
      <c r="D86" s="115"/>
      <c r="E86" s="32"/>
      <c r="F86" s="32"/>
      <c r="G86" s="115"/>
      <c r="H86" s="115"/>
    </row>
    <row r="87" spans="1:8" ht="15" customHeight="1" x14ac:dyDescent="0.2">
      <c r="A87" s="30"/>
      <c r="B87" s="32"/>
      <c r="C87" s="32"/>
      <c r="D87" s="115"/>
      <c r="E87" s="32"/>
      <c r="F87" s="32"/>
      <c r="G87" s="115"/>
      <c r="H87" s="115"/>
    </row>
    <row r="88" spans="1:8" ht="15" customHeight="1" x14ac:dyDescent="0.2">
      <c r="A88" s="30"/>
      <c r="B88" s="32"/>
      <c r="C88" s="32"/>
      <c r="D88" s="115"/>
      <c r="E88" s="32"/>
      <c r="F88" s="32"/>
      <c r="G88" s="115"/>
      <c r="H88" s="115"/>
    </row>
    <row r="89" spans="1:8" ht="15" customHeight="1" x14ac:dyDescent="0.2">
      <c r="A89" s="30"/>
      <c r="B89" s="32"/>
      <c r="C89" s="32"/>
      <c r="D89" s="115"/>
      <c r="E89" s="32"/>
      <c r="F89" s="32"/>
      <c r="G89" s="115"/>
      <c r="H89" s="115"/>
    </row>
    <row r="90" spans="1:8" ht="15" customHeight="1" x14ac:dyDescent="0.2">
      <c r="A90" s="30"/>
      <c r="B90" s="32"/>
      <c r="C90" s="32"/>
      <c r="D90" s="115"/>
      <c r="E90" s="32"/>
      <c r="F90" s="32"/>
      <c r="G90" s="115"/>
      <c r="H90" s="115"/>
    </row>
    <row r="91" spans="1:8" ht="15" customHeight="1" x14ac:dyDescent="0.2">
      <c r="A91" s="30"/>
      <c r="B91" s="32"/>
      <c r="C91" s="32"/>
      <c r="D91" s="115"/>
      <c r="E91" s="32"/>
      <c r="F91" s="32"/>
      <c r="G91" s="115"/>
      <c r="H91" s="115"/>
    </row>
    <row r="92" spans="1:8" ht="15" customHeight="1" x14ac:dyDescent="0.2">
      <c r="A92" s="30"/>
      <c r="B92" s="32"/>
      <c r="C92" s="32"/>
      <c r="D92" s="115"/>
      <c r="E92" s="32"/>
      <c r="F92" s="32"/>
      <c r="G92" s="115"/>
      <c r="H92" s="115"/>
    </row>
    <row r="93" spans="1:8" ht="15" customHeight="1" x14ac:dyDescent="0.2">
      <c r="A93" s="30"/>
      <c r="B93" s="32"/>
      <c r="C93" s="32"/>
      <c r="D93" s="115"/>
      <c r="E93" s="32"/>
      <c r="F93" s="32"/>
      <c r="G93" s="115"/>
      <c r="H93" s="115"/>
    </row>
    <row r="94" spans="1:8" ht="15" customHeight="1" x14ac:dyDescent="0.2">
      <c r="A94" s="30"/>
      <c r="B94" s="32"/>
      <c r="C94" s="32"/>
      <c r="D94" s="115"/>
      <c r="E94" s="32"/>
      <c r="F94" s="32"/>
      <c r="G94" s="115"/>
      <c r="H94" s="115"/>
    </row>
    <row r="95" spans="1:8" ht="15" customHeight="1" x14ac:dyDescent="0.2">
      <c r="A95" s="30"/>
      <c r="B95" s="32"/>
      <c r="C95" s="32"/>
      <c r="D95" s="115"/>
      <c r="E95" s="32"/>
      <c r="F95" s="32"/>
      <c r="G95" s="115"/>
      <c r="H95" s="115"/>
    </row>
    <row r="96" spans="1:8" ht="15" customHeight="1" x14ac:dyDescent="0.2">
      <c r="A96" s="30"/>
      <c r="B96" s="32"/>
      <c r="C96" s="32"/>
      <c r="D96" s="115"/>
      <c r="E96" s="32"/>
      <c r="F96" s="32"/>
      <c r="G96" s="115"/>
      <c r="H96" s="115"/>
    </row>
    <row r="97" spans="1:8" ht="15" customHeight="1" x14ac:dyDescent="0.2">
      <c r="A97" s="30"/>
      <c r="B97" s="32"/>
      <c r="C97" s="32"/>
      <c r="D97" s="115"/>
      <c r="E97" s="32"/>
      <c r="F97" s="32"/>
      <c r="G97" s="115"/>
      <c r="H97" s="115"/>
    </row>
    <row r="98" spans="1:8" ht="15" customHeight="1" x14ac:dyDescent="0.2">
      <c r="A98" s="30"/>
      <c r="B98" s="32"/>
      <c r="C98" s="32"/>
      <c r="D98" s="115"/>
      <c r="E98" s="32"/>
      <c r="F98" s="32"/>
      <c r="G98" s="115"/>
      <c r="H98" s="115"/>
    </row>
    <row r="99" spans="1:8" ht="15" customHeight="1" x14ac:dyDescent="0.2">
      <c r="A99" s="30"/>
      <c r="B99" s="32"/>
      <c r="C99" s="32"/>
      <c r="D99" s="115"/>
      <c r="E99" s="32"/>
      <c r="F99" s="32"/>
      <c r="G99" s="115"/>
      <c r="H99" s="115"/>
    </row>
    <row r="100" spans="1:8" ht="15" customHeight="1" x14ac:dyDescent="0.2">
      <c r="A100" s="30"/>
      <c r="B100" s="32"/>
      <c r="C100" s="32"/>
      <c r="D100" s="115"/>
      <c r="E100" s="32"/>
      <c r="F100" s="32"/>
      <c r="G100" s="115"/>
      <c r="H100" s="115"/>
    </row>
    <row r="101" spans="1:8" ht="15" customHeight="1" x14ac:dyDescent="0.2">
      <c r="A101" s="30"/>
      <c r="B101" s="32"/>
      <c r="C101" s="32"/>
      <c r="D101" s="115"/>
      <c r="E101" s="32"/>
      <c r="F101" s="32"/>
      <c r="G101" s="115"/>
      <c r="H101" s="115"/>
    </row>
    <row r="102" spans="1:8" ht="15" customHeight="1" x14ac:dyDescent="0.2">
      <c r="A102" s="30"/>
      <c r="B102" s="32"/>
      <c r="C102" s="32"/>
      <c r="D102" s="115"/>
      <c r="E102" s="32"/>
      <c r="F102" s="32"/>
      <c r="G102" s="115"/>
      <c r="H102" s="115"/>
    </row>
    <row r="103" spans="1:8" ht="15" customHeight="1" x14ac:dyDescent="0.2">
      <c r="A103" s="30"/>
      <c r="B103" s="32"/>
      <c r="C103" s="32"/>
      <c r="D103" s="115"/>
      <c r="E103" s="32"/>
      <c r="F103" s="32"/>
      <c r="G103" s="115"/>
      <c r="H103" s="115"/>
    </row>
    <row r="104" spans="1:8" ht="15" customHeight="1" x14ac:dyDescent="0.2">
      <c r="A104" s="30"/>
      <c r="B104" s="32"/>
      <c r="C104" s="32"/>
      <c r="D104" s="115"/>
      <c r="E104" s="32"/>
      <c r="F104" s="32"/>
      <c r="G104" s="115"/>
      <c r="H104" s="115"/>
    </row>
    <row r="105" spans="1:8" ht="15" customHeight="1" x14ac:dyDescent="0.2">
      <c r="A105" s="30"/>
      <c r="B105" s="32"/>
      <c r="C105" s="32"/>
      <c r="D105" s="115"/>
      <c r="E105" s="32"/>
      <c r="F105" s="32"/>
      <c r="G105" s="115"/>
      <c r="H105" s="115"/>
    </row>
    <row r="106" spans="1:8" ht="15" customHeight="1" x14ac:dyDescent="0.2">
      <c r="A106" s="30"/>
      <c r="B106" s="32"/>
      <c r="C106" s="32"/>
      <c r="D106" s="115"/>
      <c r="E106" s="32"/>
      <c r="F106" s="32"/>
      <c r="G106" s="115"/>
      <c r="H106" s="115"/>
    </row>
  </sheetData>
  <sheetProtection formatCells="0" formatColumns="0" formatRows="0" sort="0" pivotTables="0"/>
  <mergeCells count="3">
    <mergeCell ref="A1:G1"/>
    <mergeCell ref="A2:G2"/>
    <mergeCell ref="A3:G3"/>
  </mergeCells>
  <printOptions horizontalCentered="1"/>
  <pageMargins left="0.25" right="0.25" top="0.75" bottom="0.75" header="0.3" footer="0.3"/>
  <pageSetup orientation="portrait" r:id="rId1"/>
  <headerFooter>
    <oddFooter>&amp;RPage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8B8AA-B81E-4AFB-9C84-F4ACD1926719}">
  <sheetPr codeName="Sheet7"/>
  <dimension ref="A1:BC21"/>
  <sheetViews>
    <sheetView tabSelected="1" zoomScale="130" zoomScaleNormal="130" workbookViewId="0">
      <pane xSplit="5" ySplit="2" topLeftCell="AS3" activePane="bottomRight" state="frozen"/>
      <selection pane="topRight" activeCell="C1" sqref="C1"/>
      <selection pane="bottomLeft" activeCell="A3" sqref="A3"/>
      <selection pane="bottomRight" activeCell="AZ4" sqref="AZ4"/>
    </sheetView>
  </sheetViews>
  <sheetFormatPr defaultRowHeight="15" x14ac:dyDescent="0.25"/>
  <cols>
    <col min="1" max="1" width="18.42578125" customWidth="1"/>
    <col min="2" max="2" width="6" customWidth="1"/>
    <col min="3" max="3" width="7.7109375" customWidth="1"/>
    <col min="4" max="4" width="6.42578125" customWidth="1"/>
    <col min="5" max="5" width="18.28515625" style="27" bestFit="1" customWidth="1"/>
    <col min="6" max="6" width="7.5703125" style="27" customWidth="1"/>
    <col min="7" max="7" width="15.28515625" customWidth="1"/>
    <col min="8" max="8" width="14" style="27" customWidth="1"/>
    <col min="9" max="9" width="14.42578125" style="27" customWidth="1"/>
    <col min="10" max="10" width="19.42578125" style="27" customWidth="1"/>
    <col min="11" max="11" width="13.5703125" style="27" customWidth="1"/>
    <col min="12" max="12" width="14.140625" style="27" customWidth="1"/>
    <col min="13" max="13" width="14" style="27" customWidth="1"/>
    <col min="14" max="14" width="14.28515625" style="27" customWidth="1"/>
    <col min="15" max="15" width="13.7109375" style="27" customWidth="1"/>
    <col min="16" max="16" width="14.28515625" style="27" customWidth="1"/>
    <col min="17" max="17" width="13.5703125" style="27" customWidth="1"/>
    <col min="18" max="18" width="14.5703125" style="27" customWidth="1"/>
    <col min="19" max="19" width="12.42578125" style="27" customWidth="1"/>
    <col min="20" max="20" width="15" style="27" customWidth="1"/>
    <col min="21" max="21" width="12.28515625" style="27" customWidth="1"/>
    <col min="22" max="22" width="15.28515625" style="27" customWidth="1"/>
    <col min="23" max="23" width="14.7109375" style="27" customWidth="1"/>
    <col min="24" max="24" width="12.5703125" style="27" customWidth="1"/>
    <col min="25" max="25" width="16.140625" style="27" customWidth="1"/>
    <col min="26" max="26" width="15.28515625" style="27" customWidth="1"/>
    <col min="27" max="27" width="12.140625" style="27" customWidth="1"/>
    <col min="28" max="28" width="14.28515625" style="27" customWidth="1"/>
    <col min="29" max="29" width="13.7109375" style="27" customWidth="1"/>
    <col min="30" max="30" width="13.42578125" style="27" customWidth="1"/>
    <col min="31" max="31" width="12.140625" style="27" customWidth="1"/>
    <col min="32" max="32" width="12.28515625" style="27" customWidth="1"/>
    <col min="33" max="34" width="13.85546875" style="27" customWidth="1"/>
    <col min="35" max="35" width="14.7109375" style="27" customWidth="1"/>
    <col min="36" max="36" width="13.7109375" style="27" customWidth="1"/>
    <col min="37" max="37" width="14.5703125" style="27" customWidth="1"/>
    <col min="38" max="38" width="13.42578125" style="27" customWidth="1"/>
    <col min="39" max="40" width="14.5703125" style="27" customWidth="1"/>
    <col min="41" max="41" width="13.7109375" customWidth="1"/>
    <col min="42" max="42" width="15.28515625" customWidth="1"/>
    <col min="43" max="43" width="10.85546875" customWidth="1"/>
    <col min="44" max="46" width="12.140625" bestFit="1" customWidth="1"/>
    <col min="47" max="47" width="11.28515625" customWidth="1"/>
    <col min="48" max="48" width="12.28515625" customWidth="1"/>
    <col min="49" max="49" width="11.85546875" bestFit="1" customWidth="1"/>
    <col min="50" max="50" width="13" customWidth="1"/>
    <col min="51" max="51" width="12.28515625" customWidth="1"/>
    <col min="52" max="52" width="13.28515625" customWidth="1"/>
    <col min="53" max="53" width="12.42578125" customWidth="1"/>
    <col min="54" max="54" width="11.28515625" customWidth="1"/>
    <col min="55" max="55" width="12.85546875" customWidth="1"/>
  </cols>
  <sheetData>
    <row r="1" spans="1:55" s="90" customFormat="1" ht="192" x14ac:dyDescent="0.25">
      <c r="A1" s="87"/>
      <c r="B1" s="87"/>
      <c r="C1" s="87"/>
      <c r="D1" s="87"/>
      <c r="E1" s="88"/>
      <c r="F1" s="88"/>
      <c r="G1" s="89" t="s">
        <v>122</v>
      </c>
      <c r="H1" s="89" t="s">
        <v>59</v>
      </c>
      <c r="I1" s="89" t="s">
        <v>31</v>
      </c>
      <c r="J1" s="89" t="s">
        <v>85</v>
      </c>
      <c r="K1" s="89" t="s">
        <v>86</v>
      </c>
      <c r="L1" s="89" t="s">
        <v>87</v>
      </c>
      <c r="M1" s="89" t="s">
        <v>88</v>
      </c>
      <c r="N1" s="89" t="s">
        <v>89</v>
      </c>
      <c r="O1" s="89" t="s">
        <v>90</v>
      </c>
      <c r="P1" s="89" t="s">
        <v>91</v>
      </c>
      <c r="Q1" s="89" t="s">
        <v>92</v>
      </c>
      <c r="R1" s="89" t="s">
        <v>93</v>
      </c>
      <c r="S1" s="89" t="s">
        <v>94</v>
      </c>
      <c r="T1" s="89" t="s">
        <v>95</v>
      </c>
      <c r="U1" s="89" t="s">
        <v>96</v>
      </c>
      <c r="V1" s="89" t="s">
        <v>97</v>
      </c>
      <c r="W1" s="89" t="s">
        <v>98</v>
      </c>
      <c r="X1" s="89" t="s">
        <v>99</v>
      </c>
      <c r="Y1" s="89" t="s">
        <v>100</v>
      </c>
      <c r="Z1" s="89" t="s">
        <v>101</v>
      </c>
      <c r="AA1" s="89" t="s">
        <v>102</v>
      </c>
      <c r="AB1" s="89" t="s">
        <v>103</v>
      </c>
      <c r="AC1" s="89" t="s">
        <v>104</v>
      </c>
      <c r="AD1" s="89" t="s">
        <v>105</v>
      </c>
      <c r="AE1" s="89" t="s">
        <v>106</v>
      </c>
      <c r="AF1" s="89" t="s">
        <v>107</v>
      </c>
      <c r="AG1" s="89" t="s">
        <v>108</v>
      </c>
      <c r="AH1" s="89" t="s">
        <v>109</v>
      </c>
      <c r="AI1" s="89" t="s">
        <v>110</v>
      </c>
      <c r="AJ1" s="89" t="s">
        <v>111</v>
      </c>
      <c r="AK1" s="89" t="s">
        <v>112</v>
      </c>
      <c r="AL1" s="89" t="s">
        <v>125</v>
      </c>
      <c r="AM1" s="89" t="s">
        <v>617</v>
      </c>
      <c r="AN1" s="89" t="s">
        <v>646</v>
      </c>
      <c r="AO1" s="89" t="s">
        <v>0</v>
      </c>
      <c r="AP1" s="89" t="s">
        <v>25</v>
      </c>
      <c r="AQ1" s="89" t="s">
        <v>83</v>
      </c>
      <c r="AR1" s="89" t="s">
        <v>637</v>
      </c>
      <c r="AS1" s="89" t="s">
        <v>638</v>
      </c>
      <c r="AT1" s="89" t="s">
        <v>639</v>
      </c>
      <c r="AU1" s="89" t="s">
        <v>93</v>
      </c>
      <c r="AV1" s="89" t="s">
        <v>93</v>
      </c>
      <c r="AW1" s="89" t="s">
        <v>719</v>
      </c>
      <c r="AX1" s="89" t="s">
        <v>720</v>
      </c>
      <c r="AY1" s="89" t="s">
        <v>721</v>
      </c>
      <c r="AZ1" s="89" t="s">
        <v>722</v>
      </c>
      <c r="BA1" s="89" t="s">
        <v>723</v>
      </c>
      <c r="BB1" s="89" t="s">
        <v>724</v>
      </c>
      <c r="BC1" s="89" t="s">
        <v>725</v>
      </c>
    </row>
    <row r="2" spans="1:55" s="77" customFormat="1" ht="45" x14ac:dyDescent="0.25">
      <c r="A2" s="91" t="s">
        <v>144</v>
      </c>
      <c r="B2" s="87" t="s">
        <v>434</v>
      </c>
      <c r="C2" s="87" t="s">
        <v>432</v>
      </c>
      <c r="D2" s="87" t="s">
        <v>433</v>
      </c>
      <c r="E2" s="92" t="s">
        <v>145</v>
      </c>
      <c r="F2" s="88" t="s">
        <v>146</v>
      </c>
      <c r="G2" s="91" t="s">
        <v>124</v>
      </c>
      <c r="H2" s="92" t="s">
        <v>3</v>
      </c>
      <c r="I2" s="92" t="s">
        <v>4</v>
      </c>
      <c r="J2" s="92" t="s">
        <v>5</v>
      </c>
      <c r="K2" s="92" t="s">
        <v>6</v>
      </c>
      <c r="L2" s="92" t="s">
        <v>63</v>
      </c>
      <c r="M2" s="92" t="s">
        <v>7</v>
      </c>
      <c r="N2" s="92" t="s">
        <v>8</v>
      </c>
      <c r="O2" s="92" t="s">
        <v>9</v>
      </c>
      <c r="P2" s="92" t="s">
        <v>64</v>
      </c>
      <c r="Q2" s="92" t="s">
        <v>10</v>
      </c>
      <c r="R2" s="92" t="s">
        <v>11</v>
      </c>
      <c r="S2" s="92" t="s">
        <v>65</v>
      </c>
      <c r="T2" s="92" t="s">
        <v>12</v>
      </c>
      <c r="U2" s="92" t="s">
        <v>13</v>
      </c>
      <c r="V2" s="92" t="s">
        <v>66</v>
      </c>
      <c r="W2" s="92" t="s">
        <v>67</v>
      </c>
      <c r="X2" s="92" t="s">
        <v>68</v>
      </c>
      <c r="Y2" s="92" t="s">
        <v>69</v>
      </c>
      <c r="Z2" s="92" t="s">
        <v>70</v>
      </c>
      <c r="AA2" s="92" t="s">
        <v>71</v>
      </c>
      <c r="AB2" s="92" t="s">
        <v>61</v>
      </c>
      <c r="AC2" s="92" t="s">
        <v>62</v>
      </c>
      <c r="AD2" s="92" t="s">
        <v>72</v>
      </c>
      <c r="AE2" s="92" t="s">
        <v>73</v>
      </c>
      <c r="AF2" s="92" t="s">
        <v>74</v>
      </c>
      <c r="AG2" s="92" t="s">
        <v>442</v>
      </c>
      <c r="AH2" s="92" t="s">
        <v>75</v>
      </c>
      <c r="AI2" s="92" t="s">
        <v>76</v>
      </c>
      <c r="AJ2" s="92" t="s">
        <v>77</v>
      </c>
      <c r="AK2" s="92" t="s">
        <v>78</v>
      </c>
      <c r="AL2" s="92" t="s">
        <v>79</v>
      </c>
      <c r="AM2" s="92" t="s">
        <v>616</v>
      </c>
      <c r="AN2" s="92" t="s">
        <v>645</v>
      </c>
      <c r="AO2" s="92" t="s">
        <v>157</v>
      </c>
      <c r="AP2" s="92" t="s">
        <v>180</v>
      </c>
      <c r="AQ2" s="92" t="s">
        <v>181</v>
      </c>
      <c r="AR2" s="92" t="s">
        <v>170</v>
      </c>
      <c r="AS2" s="92" t="s">
        <v>171</v>
      </c>
      <c r="AT2" s="92" t="s">
        <v>172</v>
      </c>
      <c r="AU2" s="262" t="s">
        <v>741</v>
      </c>
      <c r="AV2" s="262" t="s">
        <v>742</v>
      </c>
      <c r="AW2" s="262" t="s">
        <v>743</v>
      </c>
      <c r="AX2" s="262" t="s">
        <v>744</v>
      </c>
      <c r="AY2" s="262" t="s">
        <v>745</v>
      </c>
      <c r="AZ2" s="262" t="s">
        <v>746</v>
      </c>
      <c r="BA2" s="262" t="s">
        <v>747</v>
      </c>
      <c r="BB2" s="262" t="s">
        <v>748</v>
      </c>
      <c r="BC2" s="262" t="s">
        <v>749</v>
      </c>
    </row>
    <row r="3" spans="1:55" x14ac:dyDescent="0.25">
      <c r="A3" t="s">
        <v>137</v>
      </c>
      <c r="B3">
        <v>1</v>
      </c>
      <c r="C3">
        <v>1</v>
      </c>
      <c r="D3">
        <v>10</v>
      </c>
      <c r="E3" s="27">
        <f>+F3*E$14</f>
        <v>2500</v>
      </c>
      <c r="F3" s="39">
        <v>0.25</v>
      </c>
      <c r="G3" s="38">
        <v>389</v>
      </c>
      <c r="J3" s="27">
        <f>+$F3*J$14</f>
        <v>3000</v>
      </c>
      <c r="K3" s="27">
        <f t="shared" ref="K3:AK3" si="0">+K$14*$F3</f>
        <v>187.5</v>
      </c>
      <c r="L3" s="27">
        <f t="shared" si="0"/>
        <v>187.5</v>
      </c>
      <c r="M3" s="27">
        <f t="shared" si="0"/>
        <v>187.5</v>
      </c>
      <c r="N3" s="27">
        <f t="shared" si="0"/>
        <v>250</v>
      </c>
      <c r="O3" s="27">
        <f t="shared" si="0"/>
        <v>250</v>
      </c>
      <c r="P3" s="27">
        <f t="shared" si="0"/>
        <v>250</v>
      </c>
      <c r="Q3" s="27">
        <f t="shared" si="0"/>
        <v>125</v>
      </c>
      <c r="R3" s="27">
        <f t="shared" si="0"/>
        <v>250</v>
      </c>
      <c r="S3" s="27">
        <f t="shared" si="0"/>
        <v>187.5</v>
      </c>
      <c r="T3" s="27">
        <f t="shared" si="0"/>
        <v>125</v>
      </c>
      <c r="U3" s="27">
        <f t="shared" si="0"/>
        <v>250</v>
      </c>
      <c r="V3" s="27">
        <f t="shared" si="0"/>
        <v>250</v>
      </c>
      <c r="W3" s="27">
        <f t="shared" si="0"/>
        <v>187.5</v>
      </c>
      <c r="X3" s="27">
        <f t="shared" si="0"/>
        <v>250</v>
      </c>
      <c r="Y3" s="27">
        <f t="shared" si="0"/>
        <v>187.5</v>
      </c>
      <c r="Z3" s="27">
        <f t="shared" si="0"/>
        <v>125</v>
      </c>
      <c r="AA3" s="27">
        <f t="shared" si="0"/>
        <v>187.5</v>
      </c>
      <c r="AB3" s="27">
        <f t="shared" si="0"/>
        <v>187.5</v>
      </c>
      <c r="AC3" s="27">
        <f t="shared" si="0"/>
        <v>250</v>
      </c>
      <c r="AD3" s="27">
        <f t="shared" si="0"/>
        <v>187.5</v>
      </c>
      <c r="AE3" s="27">
        <f t="shared" si="0"/>
        <v>125</v>
      </c>
      <c r="AF3" s="27">
        <f t="shared" si="0"/>
        <v>125</v>
      </c>
      <c r="AG3" s="27">
        <f t="shared" si="0"/>
        <v>125</v>
      </c>
      <c r="AH3" s="27">
        <f t="shared" si="0"/>
        <v>187.5</v>
      </c>
      <c r="AI3" s="27">
        <f t="shared" si="0"/>
        <v>125</v>
      </c>
      <c r="AJ3" s="27">
        <f t="shared" si="0"/>
        <v>125</v>
      </c>
      <c r="AK3" s="27">
        <f t="shared" si="0"/>
        <v>187.5</v>
      </c>
      <c r="AL3" s="38">
        <v>15</v>
      </c>
      <c r="AM3" s="38">
        <v>100</v>
      </c>
      <c r="AN3" s="163">
        <v>926</v>
      </c>
      <c r="AO3" s="164">
        <f t="shared" ref="AO3:AO13" si="1">+AO$14*$F3</f>
        <v>5000</v>
      </c>
      <c r="AP3" s="164">
        <v>250</v>
      </c>
      <c r="AQ3" s="164">
        <v>2500</v>
      </c>
      <c r="AR3" s="164">
        <v>225</v>
      </c>
      <c r="AS3" s="164">
        <v>190</v>
      </c>
      <c r="AT3" s="164">
        <v>250</v>
      </c>
      <c r="AU3" s="27">
        <f t="shared" ref="AU3:BC13" si="2">+AU$14*$F3</f>
        <v>125</v>
      </c>
      <c r="AV3" s="27">
        <f t="shared" si="2"/>
        <v>125</v>
      </c>
      <c r="AW3" s="27">
        <f t="shared" si="2"/>
        <v>125</v>
      </c>
      <c r="AX3" s="27">
        <f t="shared" si="2"/>
        <v>125</v>
      </c>
      <c r="AY3" s="27">
        <f t="shared" si="2"/>
        <v>125</v>
      </c>
      <c r="AZ3" s="27">
        <f t="shared" si="2"/>
        <v>125</v>
      </c>
      <c r="BA3" s="27">
        <f t="shared" si="2"/>
        <v>125</v>
      </c>
      <c r="BB3" s="27">
        <f t="shared" si="2"/>
        <v>125</v>
      </c>
      <c r="BC3" s="27">
        <f t="shared" si="2"/>
        <v>125</v>
      </c>
    </row>
    <row r="4" spans="1:55" x14ac:dyDescent="0.25">
      <c r="A4" t="s">
        <v>136</v>
      </c>
      <c r="B4">
        <v>2</v>
      </c>
      <c r="C4">
        <f>+D3+1</f>
        <v>11</v>
      </c>
      <c r="D4">
        <v>25</v>
      </c>
      <c r="E4" s="27">
        <f t="shared" ref="E4:E13" si="3">+F4*E$14</f>
        <v>3500</v>
      </c>
      <c r="F4" s="39">
        <v>0.35</v>
      </c>
      <c r="G4" s="27">
        <f>(1-G$16)*G3</f>
        <v>381.21999999999997</v>
      </c>
      <c r="J4" s="27">
        <f t="shared" ref="J4:J13" si="4">+$F4*J$14</f>
        <v>4200</v>
      </c>
      <c r="K4" s="27">
        <f t="shared" ref="K4:Z13" si="5">+K$14*$F4</f>
        <v>262.5</v>
      </c>
      <c r="L4" s="27">
        <f t="shared" ref="L4:U12" si="6">+L$14*$F4</f>
        <v>262.5</v>
      </c>
      <c r="M4" s="27">
        <f t="shared" si="6"/>
        <v>262.5</v>
      </c>
      <c r="N4" s="27">
        <f t="shared" si="6"/>
        <v>350</v>
      </c>
      <c r="O4" s="27">
        <f t="shared" si="6"/>
        <v>350</v>
      </c>
      <c r="P4" s="27">
        <f t="shared" si="6"/>
        <v>350</v>
      </c>
      <c r="Q4" s="27">
        <f t="shared" si="6"/>
        <v>175</v>
      </c>
      <c r="R4" s="27">
        <f t="shared" si="6"/>
        <v>350</v>
      </c>
      <c r="S4" s="27">
        <f t="shared" si="6"/>
        <v>262.5</v>
      </c>
      <c r="T4" s="27">
        <f t="shared" si="6"/>
        <v>175</v>
      </c>
      <c r="U4" s="27">
        <f t="shared" si="6"/>
        <v>350</v>
      </c>
      <c r="V4" s="27">
        <f t="shared" ref="V4:AE12" si="7">+V$14*$F4</f>
        <v>350</v>
      </c>
      <c r="W4" s="27">
        <f t="shared" si="7"/>
        <v>262.5</v>
      </c>
      <c r="X4" s="27">
        <f t="shared" si="7"/>
        <v>350</v>
      </c>
      <c r="Y4" s="27">
        <f t="shared" si="7"/>
        <v>262.5</v>
      </c>
      <c r="Z4" s="27">
        <f t="shared" si="7"/>
        <v>175</v>
      </c>
      <c r="AA4" s="27">
        <f t="shared" si="7"/>
        <v>262.5</v>
      </c>
      <c r="AB4" s="27">
        <f t="shared" si="7"/>
        <v>262.5</v>
      </c>
      <c r="AC4" s="27">
        <f t="shared" si="7"/>
        <v>350</v>
      </c>
      <c r="AD4" s="27">
        <f t="shared" si="7"/>
        <v>262.5</v>
      </c>
      <c r="AE4" s="27">
        <f t="shared" si="7"/>
        <v>175</v>
      </c>
      <c r="AF4" s="27">
        <f t="shared" ref="AF4:AK12" si="8">+AF$14*$F4</f>
        <v>175</v>
      </c>
      <c r="AG4" s="27">
        <f t="shared" si="8"/>
        <v>175</v>
      </c>
      <c r="AH4" s="27">
        <f t="shared" si="8"/>
        <v>262.5</v>
      </c>
      <c r="AI4" s="27">
        <f t="shared" si="8"/>
        <v>175</v>
      </c>
      <c r="AJ4" s="27">
        <f t="shared" si="8"/>
        <v>175</v>
      </c>
      <c r="AK4" s="27">
        <f t="shared" si="8"/>
        <v>262.5</v>
      </c>
      <c r="AL4" s="27">
        <f t="shared" ref="AL4:AL14" si="9">(1-AL$16)*AL3</f>
        <v>14.775</v>
      </c>
      <c r="AM4" s="27">
        <f>(1-AM$16)*AM3</f>
        <v>98</v>
      </c>
      <c r="AN4" s="164">
        <v>926</v>
      </c>
      <c r="AO4" s="164">
        <f t="shared" si="1"/>
        <v>7000</v>
      </c>
      <c r="AP4" s="164">
        <v>250</v>
      </c>
      <c r="AQ4" s="164">
        <v>2500</v>
      </c>
      <c r="AR4" s="164">
        <v>225</v>
      </c>
      <c r="AS4" s="164">
        <v>190</v>
      </c>
      <c r="AT4" s="164">
        <v>250</v>
      </c>
      <c r="AU4" s="27">
        <f t="shared" si="2"/>
        <v>175</v>
      </c>
      <c r="AV4" s="27">
        <f t="shared" si="2"/>
        <v>175</v>
      </c>
      <c r="AW4" s="27">
        <f t="shared" si="2"/>
        <v>175</v>
      </c>
      <c r="AX4" s="27">
        <f t="shared" si="2"/>
        <v>175</v>
      </c>
      <c r="AY4" s="27">
        <f t="shared" si="2"/>
        <v>175</v>
      </c>
      <c r="AZ4" s="27">
        <f t="shared" si="2"/>
        <v>175</v>
      </c>
      <c r="BA4" s="27">
        <f t="shared" si="2"/>
        <v>175</v>
      </c>
      <c r="BB4" s="27">
        <f t="shared" si="2"/>
        <v>175</v>
      </c>
      <c r="BC4" s="27">
        <f t="shared" si="2"/>
        <v>175</v>
      </c>
    </row>
    <row r="5" spans="1:55" x14ac:dyDescent="0.25">
      <c r="A5" t="s">
        <v>135</v>
      </c>
      <c r="B5">
        <v>3</v>
      </c>
      <c r="C5">
        <f t="shared" ref="C5:C14" si="10">+D4+1</f>
        <v>26</v>
      </c>
      <c r="D5">
        <v>50</v>
      </c>
      <c r="E5" s="27">
        <f t="shared" si="3"/>
        <v>4500</v>
      </c>
      <c r="F5" s="39">
        <v>0.45</v>
      </c>
      <c r="G5" s="27">
        <f t="shared" ref="G5:G14" si="11">(1-G$16)*G4</f>
        <v>373.59559999999999</v>
      </c>
      <c r="J5" s="27">
        <f t="shared" si="4"/>
        <v>5400</v>
      </c>
      <c r="K5" s="27">
        <f t="shared" si="5"/>
        <v>337.5</v>
      </c>
      <c r="L5" s="27">
        <f t="shared" si="6"/>
        <v>337.5</v>
      </c>
      <c r="M5" s="27">
        <f t="shared" si="6"/>
        <v>337.5</v>
      </c>
      <c r="N5" s="27">
        <f t="shared" si="6"/>
        <v>450</v>
      </c>
      <c r="O5" s="27">
        <f t="shared" si="6"/>
        <v>450</v>
      </c>
      <c r="P5" s="27">
        <f t="shared" si="6"/>
        <v>450</v>
      </c>
      <c r="Q5" s="27">
        <f t="shared" si="6"/>
        <v>225</v>
      </c>
      <c r="R5" s="27">
        <f t="shared" si="6"/>
        <v>450</v>
      </c>
      <c r="S5" s="27">
        <f t="shared" si="6"/>
        <v>337.5</v>
      </c>
      <c r="T5" s="27">
        <f t="shared" si="6"/>
        <v>225</v>
      </c>
      <c r="U5" s="27">
        <f t="shared" si="6"/>
        <v>450</v>
      </c>
      <c r="V5" s="27">
        <f t="shared" si="7"/>
        <v>450</v>
      </c>
      <c r="W5" s="27">
        <f t="shared" si="7"/>
        <v>337.5</v>
      </c>
      <c r="X5" s="27">
        <f t="shared" si="7"/>
        <v>450</v>
      </c>
      <c r="Y5" s="27">
        <f t="shared" si="7"/>
        <v>337.5</v>
      </c>
      <c r="Z5" s="27">
        <f t="shared" si="7"/>
        <v>225</v>
      </c>
      <c r="AA5" s="27">
        <f t="shared" si="7"/>
        <v>337.5</v>
      </c>
      <c r="AB5" s="27">
        <f t="shared" si="7"/>
        <v>337.5</v>
      </c>
      <c r="AC5" s="27">
        <f t="shared" si="7"/>
        <v>450</v>
      </c>
      <c r="AD5" s="27">
        <f t="shared" si="7"/>
        <v>337.5</v>
      </c>
      <c r="AE5" s="27">
        <f t="shared" si="7"/>
        <v>225</v>
      </c>
      <c r="AF5" s="27">
        <f t="shared" si="8"/>
        <v>225</v>
      </c>
      <c r="AG5" s="27">
        <f t="shared" si="8"/>
        <v>225</v>
      </c>
      <c r="AH5" s="27">
        <f t="shared" si="8"/>
        <v>337.5</v>
      </c>
      <c r="AI5" s="27">
        <f t="shared" si="8"/>
        <v>225</v>
      </c>
      <c r="AJ5" s="27">
        <f t="shared" si="8"/>
        <v>225</v>
      </c>
      <c r="AK5" s="27">
        <f t="shared" si="8"/>
        <v>337.5</v>
      </c>
      <c r="AL5" s="27">
        <f t="shared" si="9"/>
        <v>14.553375000000001</v>
      </c>
      <c r="AM5" s="27">
        <f t="shared" ref="AM5:AM14" si="12">(1-AM$16)*AM4</f>
        <v>96.039999999999992</v>
      </c>
      <c r="AN5" s="164">
        <v>926</v>
      </c>
      <c r="AO5" s="164">
        <f t="shared" si="1"/>
        <v>9000</v>
      </c>
      <c r="AP5" s="164">
        <v>250</v>
      </c>
      <c r="AQ5" s="164">
        <v>2500</v>
      </c>
      <c r="AR5" s="164">
        <v>225</v>
      </c>
      <c r="AS5" s="164">
        <v>190</v>
      </c>
      <c r="AT5" s="164">
        <v>250</v>
      </c>
      <c r="AU5" s="27">
        <f t="shared" si="2"/>
        <v>225</v>
      </c>
      <c r="AV5" s="27">
        <f t="shared" si="2"/>
        <v>225</v>
      </c>
      <c r="AW5" s="27">
        <f t="shared" si="2"/>
        <v>225</v>
      </c>
      <c r="AX5" s="27">
        <f t="shared" si="2"/>
        <v>225</v>
      </c>
      <c r="AY5" s="27">
        <f t="shared" si="2"/>
        <v>225</v>
      </c>
      <c r="AZ5" s="27">
        <f t="shared" si="2"/>
        <v>225</v>
      </c>
      <c r="BA5" s="27">
        <f t="shared" si="2"/>
        <v>225</v>
      </c>
      <c r="BB5" s="27">
        <f t="shared" si="2"/>
        <v>225</v>
      </c>
      <c r="BC5" s="27">
        <f t="shared" si="2"/>
        <v>225</v>
      </c>
    </row>
    <row r="6" spans="1:55" x14ac:dyDescent="0.25">
      <c r="A6" t="s">
        <v>134</v>
      </c>
      <c r="B6">
        <v>4</v>
      </c>
      <c r="C6">
        <f t="shared" si="10"/>
        <v>51</v>
      </c>
      <c r="D6">
        <v>100</v>
      </c>
      <c r="E6" s="27">
        <f t="shared" si="3"/>
        <v>6000</v>
      </c>
      <c r="F6" s="39">
        <v>0.6</v>
      </c>
      <c r="G6" s="27">
        <f t="shared" si="11"/>
        <v>366.12368799999996</v>
      </c>
      <c r="J6" s="27">
        <f t="shared" si="4"/>
        <v>7200</v>
      </c>
      <c r="K6" s="27">
        <f t="shared" si="5"/>
        <v>450</v>
      </c>
      <c r="L6" s="27">
        <f t="shared" si="6"/>
        <v>450</v>
      </c>
      <c r="M6" s="27">
        <f t="shared" si="6"/>
        <v>450</v>
      </c>
      <c r="N6" s="27">
        <f t="shared" si="6"/>
        <v>600</v>
      </c>
      <c r="O6" s="27">
        <f t="shared" si="6"/>
        <v>600</v>
      </c>
      <c r="P6" s="27">
        <f t="shared" si="6"/>
        <v>600</v>
      </c>
      <c r="Q6" s="27">
        <f t="shared" si="6"/>
        <v>300</v>
      </c>
      <c r="R6" s="27">
        <f t="shared" si="6"/>
        <v>600</v>
      </c>
      <c r="S6" s="27">
        <f t="shared" si="6"/>
        <v>450</v>
      </c>
      <c r="T6" s="27">
        <f t="shared" si="6"/>
        <v>300</v>
      </c>
      <c r="U6" s="27">
        <f t="shared" si="6"/>
        <v>600</v>
      </c>
      <c r="V6" s="27">
        <f t="shared" si="7"/>
        <v>600</v>
      </c>
      <c r="W6" s="27">
        <f t="shared" si="7"/>
        <v>450</v>
      </c>
      <c r="X6" s="27">
        <f t="shared" si="7"/>
        <v>600</v>
      </c>
      <c r="Y6" s="27">
        <f t="shared" si="7"/>
        <v>450</v>
      </c>
      <c r="Z6" s="27">
        <f t="shared" si="7"/>
        <v>300</v>
      </c>
      <c r="AA6" s="27">
        <f t="shared" si="7"/>
        <v>450</v>
      </c>
      <c r="AB6" s="27">
        <f t="shared" si="7"/>
        <v>450</v>
      </c>
      <c r="AC6" s="27">
        <f t="shared" si="7"/>
        <v>600</v>
      </c>
      <c r="AD6" s="27">
        <f t="shared" si="7"/>
        <v>450</v>
      </c>
      <c r="AE6" s="27">
        <f t="shared" si="7"/>
        <v>300</v>
      </c>
      <c r="AF6" s="27">
        <f t="shared" si="8"/>
        <v>300</v>
      </c>
      <c r="AG6" s="27">
        <f t="shared" si="8"/>
        <v>300</v>
      </c>
      <c r="AH6" s="27">
        <f t="shared" si="8"/>
        <v>450</v>
      </c>
      <c r="AI6" s="27">
        <f t="shared" si="8"/>
        <v>300</v>
      </c>
      <c r="AJ6" s="27">
        <f t="shared" si="8"/>
        <v>300</v>
      </c>
      <c r="AK6" s="27">
        <f t="shared" si="8"/>
        <v>450</v>
      </c>
      <c r="AL6" s="27">
        <f t="shared" si="9"/>
        <v>14.335074375000001</v>
      </c>
      <c r="AM6" s="27">
        <f t="shared" si="12"/>
        <v>94.119199999999992</v>
      </c>
      <c r="AN6" s="164">
        <v>926</v>
      </c>
      <c r="AO6" s="164">
        <f t="shared" si="1"/>
        <v>12000</v>
      </c>
      <c r="AP6" s="164">
        <v>250</v>
      </c>
      <c r="AQ6" s="164">
        <v>2500</v>
      </c>
      <c r="AR6" s="164">
        <v>225</v>
      </c>
      <c r="AS6" s="164">
        <v>190</v>
      </c>
      <c r="AT6" s="164">
        <v>250</v>
      </c>
      <c r="AU6" s="27">
        <f t="shared" si="2"/>
        <v>300</v>
      </c>
      <c r="AV6" s="27">
        <f t="shared" si="2"/>
        <v>300</v>
      </c>
      <c r="AW6" s="27">
        <f t="shared" si="2"/>
        <v>300</v>
      </c>
      <c r="AX6" s="27">
        <f t="shared" si="2"/>
        <v>300</v>
      </c>
      <c r="AY6" s="27">
        <f t="shared" si="2"/>
        <v>300</v>
      </c>
      <c r="AZ6" s="27">
        <f t="shared" si="2"/>
        <v>300</v>
      </c>
      <c r="BA6" s="27">
        <f t="shared" si="2"/>
        <v>300</v>
      </c>
      <c r="BB6" s="27">
        <f t="shared" si="2"/>
        <v>300</v>
      </c>
      <c r="BC6" s="27">
        <f t="shared" si="2"/>
        <v>300</v>
      </c>
    </row>
    <row r="7" spans="1:55" x14ac:dyDescent="0.25">
      <c r="A7" t="s">
        <v>133</v>
      </c>
      <c r="B7">
        <v>5</v>
      </c>
      <c r="C7">
        <f t="shared" si="10"/>
        <v>101</v>
      </c>
      <c r="D7">
        <v>225</v>
      </c>
      <c r="E7" s="27">
        <f t="shared" si="3"/>
        <v>6500</v>
      </c>
      <c r="F7" s="39">
        <v>0.65</v>
      </c>
      <c r="G7" s="27">
        <f t="shared" si="11"/>
        <v>358.80121423999998</v>
      </c>
      <c r="J7" s="27">
        <f t="shared" si="4"/>
        <v>7800</v>
      </c>
      <c r="K7" s="27">
        <f t="shared" si="5"/>
        <v>487.5</v>
      </c>
      <c r="L7" s="27">
        <f t="shared" si="6"/>
        <v>487.5</v>
      </c>
      <c r="M7" s="27">
        <f t="shared" si="6"/>
        <v>487.5</v>
      </c>
      <c r="N7" s="27">
        <f t="shared" si="6"/>
        <v>650</v>
      </c>
      <c r="O7" s="27">
        <f t="shared" si="6"/>
        <v>650</v>
      </c>
      <c r="P7" s="27">
        <f t="shared" si="6"/>
        <v>650</v>
      </c>
      <c r="Q7" s="27">
        <f t="shared" si="6"/>
        <v>325</v>
      </c>
      <c r="R7" s="27">
        <f t="shared" si="6"/>
        <v>650</v>
      </c>
      <c r="S7" s="27">
        <f t="shared" si="6"/>
        <v>487.5</v>
      </c>
      <c r="T7" s="27">
        <f t="shared" si="6"/>
        <v>325</v>
      </c>
      <c r="U7" s="27">
        <f t="shared" si="6"/>
        <v>650</v>
      </c>
      <c r="V7" s="27">
        <f t="shared" si="7"/>
        <v>650</v>
      </c>
      <c r="W7" s="27">
        <f t="shared" si="7"/>
        <v>487.5</v>
      </c>
      <c r="X7" s="27">
        <f t="shared" si="7"/>
        <v>650</v>
      </c>
      <c r="Y7" s="27">
        <f t="shared" si="7"/>
        <v>487.5</v>
      </c>
      <c r="Z7" s="27">
        <f t="shared" si="7"/>
        <v>325</v>
      </c>
      <c r="AA7" s="27">
        <f t="shared" si="7"/>
        <v>487.5</v>
      </c>
      <c r="AB7" s="27">
        <f t="shared" si="7"/>
        <v>487.5</v>
      </c>
      <c r="AC7" s="27">
        <f t="shared" si="7"/>
        <v>650</v>
      </c>
      <c r="AD7" s="27">
        <f t="shared" si="7"/>
        <v>487.5</v>
      </c>
      <c r="AE7" s="27">
        <f t="shared" si="7"/>
        <v>325</v>
      </c>
      <c r="AF7" s="27">
        <f t="shared" si="8"/>
        <v>325</v>
      </c>
      <c r="AG7" s="27">
        <f t="shared" si="8"/>
        <v>325</v>
      </c>
      <c r="AH7" s="27">
        <f t="shared" si="8"/>
        <v>487.5</v>
      </c>
      <c r="AI7" s="27">
        <f t="shared" si="8"/>
        <v>325</v>
      </c>
      <c r="AJ7" s="27">
        <f t="shared" si="8"/>
        <v>325</v>
      </c>
      <c r="AK7" s="27">
        <f t="shared" si="8"/>
        <v>487.5</v>
      </c>
      <c r="AL7" s="27">
        <f t="shared" si="9"/>
        <v>14.120048259375</v>
      </c>
      <c r="AM7" s="27">
        <f t="shared" si="12"/>
        <v>92.23681599999999</v>
      </c>
      <c r="AN7" s="164">
        <v>926</v>
      </c>
      <c r="AO7" s="164">
        <f t="shared" si="1"/>
        <v>13000</v>
      </c>
      <c r="AP7" s="164">
        <v>250</v>
      </c>
      <c r="AQ7" s="164">
        <v>2500</v>
      </c>
      <c r="AR7" s="164">
        <v>225</v>
      </c>
      <c r="AS7" s="164">
        <v>190</v>
      </c>
      <c r="AT7" s="164">
        <v>250</v>
      </c>
      <c r="AU7" s="27">
        <f t="shared" si="2"/>
        <v>325</v>
      </c>
      <c r="AV7" s="27">
        <f t="shared" si="2"/>
        <v>325</v>
      </c>
      <c r="AW7" s="27">
        <f t="shared" si="2"/>
        <v>325</v>
      </c>
      <c r="AX7" s="27">
        <f t="shared" si="2"/>
        <v>325</v>
      </c>
      <c r="AY7" s="27">
        <f t="shared" si="2"/>
        <v>325</v>
      </c>
      <c r="AZ7" s="27">
        <f t="shared" si="2"/>
        <v>325</v>
      </c>
      <c r="BA7" s="27">
        <f t="shared" si="2"/>
        <v>325</v>
      </c>
      <c r="BB7" s="27">
        <f t="shared" si="2"/>
        <v>325</v>
      </c>
      <c r="BC7" s="27">
        <f t="shared" si="2"/>
        <v>325</v>
      </c>
    </row>
    <row r="8" spans="1:55" x14ac:dyDescent="0.25">
      <c r="A8" t="s">
        <v>132</v>
      </c>
      <c r="B8">
        <v>6</v>
      </c>
      <c r="C8">
        <f t="shared" si="10"/>
        <v>226</v>
      </c>
      <c r="D8">
        <v>350</v>
      </c>
      <c r="E8" s="27">
        <f t="shared" si="3"/>
        <v>7000</v>
      </c>
      <c r="F8" s="39">
        <v>0.7</v>
      </c>
      <c r="G8" s="27">
        <f t="shared" si="11"/>
        <v>351.62518995519997</v>
      </c>
      <c r="J8" s="27">
        <f t="shared" si="4"/>
        <v>8400</v>
      </c>
      <c r="K8" s="27">
        <f t="shared" si="5"/>
        <v>525</v>
      </c>
      <c r="L8" s="27">
        <f t="shared" si="6"/>
        <v>525</v>
      </c>
      <c r="M8" s="27">
        <f t="shared" si="6"/>
        <v>525</v>
      </c>
      <c r="N8" s="27">
        <f t="shared" si="6"/>
        <v>700</v>
      </c>
      <c r="O8" s="27">
        <f t="shared" si="6"/>
        <v>700</v>
      </c>
      <c r="P8" s="27">
        <f t="shared" si="6"/>
        <v>700</v>
      </c>
      <c r="Q8" s="27">
        <f t="shared" si="6"/>
        <v>350</v>
      </c>
      <c r="R8" s="27">
        <f t="shared" si="6"/>
        <v>700</v>
      </c>
      <c r="S8" s="27">
        <f t="shared" si="6"/>
        <v>525</v>
      </c>
      <c r="T8" s="27">
        <f t="shared" si="6"/>
        <v>350</v>
      </c>
      <c r="U8" s="27">
        <f t="shared" si="6"/>
        <v>700</v>
      </c>
      <c r="V8" s="27">
        <f t="shared" si="7"/>
        <v>700</v>
      </c>
      <c r="W8" s="27">
        <f t="shared" si="7"/>
        <v>525</v>
      </c>
      <c r="X8" s="27">
        <f t="shared" si="7"/>
        <v>700</v>
      </c>
      <c r="Y8" s="27">
        <f t="shared" si="7"/>
        <v>525</v>
      </c>
      <c r="Z8" s="27">
        <f t="shared" si="7"/>
        <v>350</v>
      </c>
      <c r="AA8" s="27">
        <f t="shared" si="7"/>
        <v>525</v>
      </c>
      <c r="AB8" s="27">
        <f t="shared" si="7"/>
        <v>525</v>
      </c>
      <c r="AC8" s="27">
        <f t="shared" si="7"/>
        <v>700</v>
      </c>
      <c r="AD8" s="27">
        <f t="shared" si="7"/>
        <v>525</v>
      </c>
      <c r="AE8" s="27">
        <f t="shared" si="7"/>
        <v>350</v>
      </c>
      <c r="AF8" s="27">
        <f t="shared" si="8"/>
        <v>350</v>
      </c>
      <c r="AG8" s="27">
        <f t="shared" si="8"/>
        <v>350</v>
      </c>
      <c r="AH8" s="27">
        <f t="shared" si="8"/>
        <v>525</v>
      </c>
      <c r="AI8" s="27">
        <f t="shared" si="8"/>
        <v>350</v>
      </c>
      <c r="AJ8" s="27">
        <f t="shared" si="8"/>
        <v>350</v>
      </c>
      <c r="AK8" s="27">
        <f t="shared" si="8"/>
        <v>525</v>
      </c>
      <c r="AL8" s="27">
        <f t="shared" si="9"/>
        <v>13.908247535484374</v>
      </c>
      <c r="AM8" s="27">
        <f t="shared" si="12"/>
        <v>90.392079679999995</v>
      </c>
      <c r="AN8" s="164">
        <v>926</v>
      </c>
      <c r="AO8" s="164">
        <f t="shared" si="1"/>
        <v>14000</v>
      </c>
      <c r="AP8" s="164">
        <v>250</v>
      </c>
      <c r="AQ8" s="164">
        <v>2500</v>
      </c>
      <c r="AR8" s="164">
        <v>225</v>
      </c>
      <c r="AS8" s="164">
        <v>190</v>
      </c>
      <c r="AT8" s="164">
        <v>250</v>
      </c>
      <c r="AU8" s="27">
        <f t="shared" si="2"/>
        <v>350</v>
      </c>
      <c r="AV8" s="27">
        <f t="shared" si="2"/>
        <v>350</v>
      </c>
      <c r="AW8" s="27">
        <f t="shared" si="2"/>
        <v>350</v>
      </c>
      <c r="AX8" s="27">
        <f t="shared" si="2"/>
        <v>350</v>
      </c>
      <c r="AY8" s="27">
        <f t="shared" si="2"/>
        <v>350</v>
      </c>
      <c r="AZ8" s="27">
        <f t="shared" si="2"/>
        <v>350</v>
      </c>
      <c r="BA8" s="27">
        <f t="shared" si="2"/>
        <v>350</v>
      </c>
      <c r="BB8" s="27">
        <f t="shared" si="2"/>
        <v>350</v>
      </c>
      <c r="BC8" s="27">
        <f t="shared" si="2"/>
        <v>350</v>
      </c>
    </row>
    <row r="9" spans="1:55" x14ac:dyDescent="0.25">
      <c r="A9" t="s">
        <v>131</v>
      </c>
      <c r="B9">
        <v>7</v>
      </c>
      <c r="C9">
        <f t="shared" si="10"/>
        <v>351</v>
      </c>
      <c r="D9">
        <v>500</v>
      </c>
      <c r="E9" s="27">
        <f t="shared" si="3"/>
        <v>7500</v>
      </c>
      <c r="F9" s="39">
        <v>0.75</v>
      </c>
      <c r="G9" s="27">
        <f t="shared" si="11"/>
        <v>344.59268615609597</v>
      </c>
      <c r="J9" s="27">
        <f t="shared" si="4"/>
        <v>9000</v>
      </c>
      <c r="K9" s="27">
        <f t="shared" si="5"/>
        <v>562.5</v>
      </c>
      <c r="L9" s="27">
        <f t="shared" si="6"/>
        <v>562.5</v>
      </c>
      <c r="M9" s="27">
        <f t="shared" si="6"/>
        <v>562.5</v>
      </c>
      <c r="N9" s="27">
        <f t="shared" si="6"/>
        <v>750</v>
      </c>
      <c r="O9" s="27">
        <f t="shared" si="6"/>
        <v>750</v>
      </c>
      <c r="P9" s="27">
        <f t="shared" si="6"/>
        <v>750</v>
      </c>
      <c r="Q9" s="27">
        <f t="shared" si="6"/>
        <v>375</v>
      </c>
      <c r="R9" s="27">
        <f t="shared" si="6"/>
        <v>750</v>
      </c>
      <c r="S9" s="27">
        <f t="shared" si="6"/>
        <v>562.5</v>
      </c>
      <c r="T9" s="27">
        <f t="shared" si="6"/>
        <v>375</v>
      </c>
      <c r="U9" s="27">
        <f t="shared" si="6"/>
        <v>750</v>
      </c>
      <c r="V9" s="27">
        <f t="shared" si="7"/>
        <v>750</v>
      </c>
      <c r="W9" s="27">
        <f t="shared" si="7"/>
        <v>562.5</v>
      </c>
      <c r="X9" s="27">
        <f t="shared" si="7"/>
        <v>750</v>
      </c>
      <c r="Y9" s="27">
        <f t="shared" si="7"/>
        <v>562.5</v>
      </c>
      <c r="Z9" s="27">
        <f t="shared" si="7"/>
        <v>375</v>
      </c>
      <c r="AA9" s="27">
        <f t="shared" si="7"/>
        <v>562.5</v>
      </c>
      <c r="AB9" s="27">
        <f t="shared" si="7"/>
        <v>562.5</v>
      </c>
      <c r="AC9" s="27">
        <f t="shared" si="7"/>
        <v>750</v>
      </c>
      <c r="AD9" s="27">
        <f t="shared" si="7"/>
        <v>562.5</v>
      </c>
      <c r="AE9" s="27">
        <f t="shared" si="7"/>
        <v>375</v>
      </c>
      <c r="AF9" s="27">
        <f t="shared" si="8"/>
        <v>375</v>
      </c>
      <c r="AG9" s="27">
        <f t="shared" si="8"/>
        <v>375</v>
      </c>
      <c r="AH9" s="27">
        <f t="shared" si="8"/>
        <v>562.5</v>
      </c>
      <c r="AI9" s="27">
        <f t="shared" si="8"/>
        <v>375</v>
      </c>
      <c r="AJ9" s="27">
        <f t="shared" si="8"/>
        <v>375</v>
      </c>
      <c r="AK9" s="27">
        <f t="shared" si="8"/>
        <v>562.5</v>
      </c>
      <c r="AL9" s="27">
        <f t="shared" si="9"/>
        <v>13.699623822452109</v>
      </c>
      <c r="AM9" s="27">
        <f t="shared" si="12"/>
        <v>88.584238086399992</v>
      </c>
      <c r="AN9" s="164">
        <v>926</v>
      </c>
      <c r="AO9" s="164">
        <f t="shared" si="1"/>
        <v>15000</v>
      </c>
      <c r="AP9" s="164">
        <v>250</v>
      </c>
      <c r="AQ9" s="164">
        <v>2500</v>
      </c>
      <c r="AR9" s="164">
        <v>225</v>
      </c>
      <c r="AS9" s="164">
        <v>190</v>
      </c>
      <c r="AT9" s="164">
        <v>250</v>
      </c>
      <c r="AU9" s="27">
        <f t="shared" si="2"/>
        <v>375</v>
      </c>
      <c r="AV9" s="27">
        <f t="shared" si="2"/>
        <v>375</v>
      </c>
      <c r="AW9" s="27">
        <f t="shared" si="2"/>
        <v>375</v>
      </c>
      <c r="AX9" s="27">
        <f t="shared" si="2"/>
        <v>375</v>
      </c>
      <c r="AY9" s="27">
        <f t="shared" si="2"/>
        <v>375</v>
      </c>
      <c r="AZ9" s="27">
        <f t="shared" si="2"/>
        <v>375</v>
      </c>
      <c r="BA9" s="27">
        <f t="shared" si="2"/>
        <v>375</v>
      </c>
      <c r="BB9" s="27">
        <f t="shared" si="2"/>
        <v>375</v>
      </c>
      <c r="BC9" s="27">
        <f t="shared" si="2"/>
        <v>375</v>
      </c>
    </row>
    <row r="10" spans="1:55" x14ac:dyDescent="0.25">
      <c r="A10" t="s">
        <v>130</v>
      </c>
      <c r="B10">
        <v>8</v>
      </c>
      <c r="C10">
        <f t="shared" si="10"/>
        <v>501</v>
      </c>
      <c r="D10">
        <v>750</v>
      </c>
      <c r="E10" s="27">
        <f t="shared" si="3"/>
        <v>8000</v>
      </c>
      <c r="F10" s="39">
        <v>0.8</v>
      </c>
      <c r="G10" s="27">
        <f t="shared" si="11"/>
        <v>337.70083243297404</v>
      </c>
      <c r="J10" s="27">
        <f t="shared" si="4"/>
        <v>9600</v>
      </c>
      <c r="K10" s="27">
        <f t="shared" si="5"/>
        <v>600</v>
      </c>
      <c r="L10" s="27">
        <f t="shared" si="6"/>
        <v>600</v>
      </c>
      <c r="M10" s="27">
        <f t="shared" si="6"/>
        <v>600</v>
      </c>
      <c r="N10" s="27">
        <f t="shared" si="6"/>
        <v>800</v>
      </c>
      <c r="O10" s="27">
        <f t="shared" si="6"/>
        <v>800</v>
      </c>
      <c r="P10" s="27">
        <f t="shared" si="6"/>
        <v>800</v>
      </c>
      <c r="Q10" s="27">
        <f t="shared" si="6"/>
        <v>400</v>
      </c>
      <c r="R10" s="27">
        <f t="shared" si="6"/>
        <v>800</v>
      </c>
      <c r="S10" s="27">
        <f t="shared" si="6"/>
        <v>600</v>
      </c>
      <c r="T10" s="27">
        <f t="shared" si="6"/>
        <v>400</v>
      </c>
      <c r="U10" s="27">
        <f t="shared" si="6"/>
        <v>800</v>
      </c>
      <c r="V10" s="27">
        <f t="shared" si="7"/>
        <v>800</v>
      </c>
      <c r="W10" s="27">
        <f t="shared" si="7"/>
        <v>600</v>
      </c>
      <c r="X10" s="27">
        <f t="shared" si="7"/>
        <v>800</v>
      </c>
      <c r="Y10" s="27">
        <f t="shared" si="7"/>
        <v>600</v>
      </c>
      <c r="Z10" s="27">
        <f t="shared" si="7"/>
        <v>400</v>
      </c>
      <c r="AA10" s="27">
        <f t="shared" si="7"/>
        <v>600</v>
      </c>
      <c r="AB10" s="27">
        <f t="shared" si="7"/>
        <v>600</v>
      </c>
      <c r="AC10" s="27">
        <f t="shared" si="7"/>
        <v>800</v>
      </c>
      <c r="AD10" s="27">
        <f t="shared" si="7"/>
        <v>600</v>
      </c>
      <c r="AE10" s="27">
        <f t="shared" si="7"/>
        <v>400</v>
      </c>
      <c r="AF10" s="27">
        <f t="shared" si="8"/>
        <v>400</v>
      </c>
      <c r="AG10" s="27">
        <f t="shared" si="8"/>
        <v>400</v>
      </c>
      <c r="AH10" s="27">
        <f t="shared" si="8"/>
        <v>600</v>
      </c>
      <c r="AI10" s="27">
        <f t="shared" si="8"/>
        <v>400</v>
      </c>
      <c r="AJ10" s="27">
        <f t="shared" si="8"/>
        <v>400</v>
      </c>
      <c r="AK10" s="27">
        <f t="shared" si="8"/>
        <v>600</v>
      </c>
      <c r="AL10" s="27">
        <f t="shared" si="9"/>
        <v>13.494129465115327</v>
      </c>
      <c r="AM10" s="27">
        <f t="shared" si="12"/>
        <v>86.812553324671995</v>
      </c>
      <c r="AN10" s="164">
        <v>926</v>
      </c>
      <c r="AO10" s="164">
        <f t="shared" si="1"/>
        <v>16000</v>
      </c>
      <c r="AP10" s="164">
        <v>250</v>
      </c>
      <c r="AQ10" s="164">
        <v>2500</v>
      </c>
      <c r="AR10" s="164">
        <v>225</v>
      </c>
      <c r="AS10" s="164">
        <v>190</v>
      </c>
      <c r="AT10" s="164">
        <v>250</v>
      </c>
      <c r="AU10" s="27">
        <f t="shared" si="2"/>
        <v>400</v>
      </c>
      <c r="AV10" s="27">
        <f t="shared" si="2"/>
        <v>400</v>
      </c>
      <c r="AW10" s="27">
        <f t="shared" si="2"/>
        <v>400</v>
      </c>
      <c r="AX10" s="27">
        <f t="shared" si="2"/>
        <v>400</v>
      </c>
      <c r="AY10" s="27">
        <f t="shared" si="2"/>
        <v>400</v>
      </c>
      <c r="AZ10" s="27">
        <f t="shared" si="2"/>
        <v>400</v>
      </c>
      <c r="BA10" s="27">
        <f t="shared" si="2"/>
        <v>400</v>
      </c>
      <c r="BB10" s="27">
        <f t="shared" si="2"/>
        <v>400</v>
      </c>
      <c r="BC10" s="27">
        <f t="shared" si="2"/>
        <v>400</v>
      </c>
    </row>
    <row r="11" spans="1:55" x14ac:dyDescent="0.25">
      <c r="A11" t="s">
        <v>129</v>
      </c>
      <c r="B11">
        <v>9</v>
      </c>
      <c r="C11">
        <f t="shared" si="10"/>
        <v>751</v>
      </c>
      <c r="D11">
        <v>1250</v>
      </c>
      <c r="E11" s="27">
        <f t="shared" si="3"/>
        <v>8500</v>
      </c>
      <c r="F11" s="39">
        <v>0.85</v>
      </c>
      <c r="G11" s="27">
        <f t="shared" si="11"/>
        <v>330.94681578431454</v>
      </c>
      <c r="J11" s="27">
        <f t="shared" si="4"/>
        <v>10200</v>
      </c>
      <c r="K11" s="27">
        <f t="shared" si="5"/>
        <v>637.5</v>
      </c>
      <c r="L11" s="27">
        <f t="shared" si="6"/>
        <v>637.5</v>
      </c>
      <c r="M11" s="27">
        <f t="shared" si="6"/>
        <v>637.5</v>
      </c>
      <c r="N11" s="27">
        <f t="shared" si="6"/>
        <v>850</v>
      </c>
      <c r="O11" s="27">
        <f t="shared" si="6"/>
        <v>850</v>
      </c>
      <c r="P11" s="27">
        <f t="shared" si="6"/>
        <v>850</v>
      </c>
      <c r="Q11" s="27">
        <f t="shared" si="6"/>
        <v>425</v>
      </c>
      <c r="R11" s="27">
        <f t="shared" si="6"/>
        <v>850</v>
      </c>
      <c r="S11" s="27">
        <f t="shared" si="6"/>
        <v>637.5</v>
      </c>
      <c r="T11" s="27">
        <f t="shared" si="6"/>
        <v>425</v>
      </c>
      <c r="U11" s="27">
        <f t="shared" si="6"/>
        <v>850</v>
      </c>
      <c r="V11" s="27">
        <f t="shared" si="7"/>
        <v>850</v>
      </c>
      <c r="W11" s="27">
        <f t="shared" si="7"/>
        <v>637.5</v>
      </c>
      <c r="X11" s="27">
        <f t="shared" si="7"/>
        <v>850</v>
      </c>
      <c r="Y11" s="27">
        <f t="shared" si="7"/>
        <v>637.5</v>
      </c>
      <c r="Z11" s="27">
        <f t="shared" si="7"/>
        <v>425</v>
      </c>
      <c r="AA11" s="27">
        <f t="shared" si="7"/>
        <v>637.5</v>
      </c>
      <c r="AB11" s="27">
        <f t="shared" si="7"/>
        <v>637.5</v>
      </c>
      <c r="AC11" s="27">
        <f t="shared" si="7"/>
        <v>850</v>
      </c>
      <c r="AD11" s="27">
        <f t="shared" si="7"/>
        <v>637.5</v>
      </c>
      <c r="AE11" s="27">
        <f t="shared" si="7"/>
        <v>425</v>
      </c>
      <c r="AF11" s="27">
        <f t="shared" si="8"/>
        <v>425</v>
      </c>
      <c r="AG11" s="27">
        <f t="shared" si="8"/>
        <v>425</v>
      </c>
      <c r="AH11" s="27">
        <f t="shared" si="8"/>
        <v>637.5</v>
      </c>
      <c r="AI11" s="27">
        <f t="shared" si="8"/>
        <v>425</v>
      </c>
      <c r="AJ11" s="27">
        <f t="shared" si="8"/>
        <v>425</v>
      </c>
      <c r="AK11" s="27">
        <f t="shared" si="8"/>
        <v>637.5</v>
      </c>
      <c r="AL11" s="27">
        <f t="shared" si="9"/>
        <v>13.291717523138596</v>
      </c>
      <c r="AM11" s="27">
        <f t="shared" si="12"/>
        <v>85.076302258178558</v>
      </c>
      <c r="AN11" s="164">
        <v>926</v>
      </c>
      <c r="AO11" s="164">
        <f t="shared" si="1"/>
        <v>17000</v>
      </c>
      <c r="AP11" s="164">
        <v>250</v>
      </c>
      <c r="AQ11" s="164">
        <v>2500</v>
      </c>
      <c r="AR11" s="164">
        <v>225</v>
      </c>
      <c r="AS11" s="164">
        <v>190</v>
      </c>
      <c r="AT11" s="164">
        <v>250</v>
      </c>
      <c r="AU11" s="27">
        <f t="shared" si="2"/>
        <v>425</v>
      </c>
      <c r="AV11" s="27">
        <f t="shared" si="2"/>
        <v>425</v>
      </c>
      <c r="AW11" s="27">
        <f t="shared" si="2"/>
        <v>425</v>
      </c>
      <c r="AX11" s="27">
        <f t="shared" si="2"/>
        <v>425</v>
      </c>
      <c r="AY11" s="27">
        <f t="shared" si="2"/>
        <v>425</v>
      </c>
      <c r="AZ11" s="27">
        <f t="shared" si="2"/>
        <v>425</v>
      </c>
      <c r="BA11" s="27">
        <f t="shared" si="2"/>
        <v>425</v>
      </c>
      <c r="BB11" s="27">
        <f t="shared" si="2"/>
        <v>425</v>
      </c>
      <c r="BC11" s="27">
        <f t="shared" si="2"/>
        <v>425</v>
      </c>
    </row>
    <row r="12" spans="1:55" x14ac:dyDescent="0.25">
      <c r="A12" t="s">
        <v>128</v>
      </c>
      <c r="B12">
        <v>10</v>
      </c>
      <c r="C12">
        <f t="shared" si="10"/>
        <v>1251</v>
      </c>
      <c r="D12">
        <v>2000</v>
      </c>
      <c r="E12" s="27">
        <f t="shared" si="3"/>
        <v>9000</v>
      </c>
      <c r="F12" s="39">
        <v>0.9</v>
      </c>
      <c r="G12" s="27">
        <f t="shared" si="11"/>
        <v>324.32787946862823</v>
      </c>
      <c r="J12" s="27">
        <f t="shared" si="4"/>
        <v>10800</v>
      </c>
      <c r="K12" s="27">
        <f t="shared" si="5"/>
        <v>675</v>
      </c>
      <c r="L12" s="27">
        <f t="shared" si="6"/>
        <v>675</v>
      </c>
      <c r="M12" s="27">
        <f t="shared" si="6"/>
        <v>675</v>
      </c>
      <c r="N12" s="27">
        <f t="shared" si="6"/>
        <v>900</v>
      </c>
      <c r="O12" s="27">
        <f t="shared" si="6"/>
        <v>900</v>
      </c>
      <c r="P12" s="27">
        <f t="shared" si="6"/>
        <v>900</v>
      </c>
      <c r="Q12" s="27">
        <f t="shared" si="6"/>
        <v>450</v>
      </c>
      <c r="R12" s="27">
        <f t="shared" si="6"/>
        <v>900</v>
      </c>
      <c r="S12" s="27">
        <f t="shared" si="6"/>
        <v>675</v>
      </c>
      <c r="T12" s="27">
        <f t="shared" si="6"/>
        <v>450</v>
      </c>
      <c r="U12" s="27">
        <f t="shared" si="6"/>
        <v>900</v>
      </c>
      <c r="V12" s="27">
        <f t="shared" si="7"/>
        <v>900</v>
      </c>
      <c r="W12" s="27">
        <f t="shared" si="7"/>
        <v>675</v>
      </c>
      <c r="X12" s="27">
        <f t="shared" si="7"/>
        <v>900</v>
      </c>
      <c r="Y12" s="27">
        <f t="shared" si="7"/>
        <v>675</v>
      </c>
      <c r="Z12" s="27">
        <f t="shared" si="7"/>
        <v>450</v>
      </c>
      <c r="AA12" s="27">
        <f t="shared" si="7"/>
        <v>675</v>
      </c>
      <c r="AB12" s="27">
        <f t="shared" si="7"/>
        <v>675</v>
      </c>
      <c r="AC12" s="27">
        <f t="shared" si="7"/>
        <v>900</v>
      </c>
      <c r="AD12" s="27">
        <f t="shared" si="7"/>
        <v>675</v>
      </c>
      <c r="AE12" s="27">
        <f t="shared" si="7"/>
        <v>450</v>
      </c>
      <c r="AF12" s="27">
        <f t="shared" si="8"/>
        <v>450</v>
      </c>
      <c r="AG12" s="27">
        <f t="shared" si="8"/>
        <v>450</v>
      </c>
      <c r="AH12" s="27">
        <f t="shared" si="8"/>
        <v>675</v>
      </c>
      <c r="AI12" s="27">
        <f t="shared" si="8"/>
        <v>450</v>
      </c>
      <c r="AJ12" s="27">
        <f t="shared" si="8"/>
        <v>450</v>
      </c>
      <c r="AK12" s="27">
        <f t="shared" si="8"/>
        <v>675</v>
      </c>
      <c r="AL12" s="27">
        <f t="shared" si="9"/>
        <v>13.092341760291516</v>
      </c>
      <c r="AM12" s="27">
        <f t="shared" si="12"/>
        <v>83.374776213014982</v>
      </c>
      <c r="AN12" s="164">
        <v>926</v>
      </c>
      <c r="AO12" s="164">
        <f t="shared" si="1"/>
        <v>18000</v>
      </c>
      <c r="AP12" s="164">
        <v>250</v>
      </c>
      <c r="AQ12" s="164">
        <v>2500</v>
      </c>
      <c r="AR12" s="164">
        <v>225</v>
      </c>
      <c r="AS12" s="164">
        <v>190</v>
      </c>
      <c r="AT12" s="164">
        <v>250</v>
      </c>
      <c r="AU12" s="27">
        <f t="shared" si="2"/>
        <v>450</v>
      </c>
      <c r="AV12" s="27">
        <f t="shared" si="2"/>
        <v>450</v>
      </c>
      <c r="AW12" s="27">
        <f t="shared" si="2"/>
        <v>450</v>
      </c>
      <c r="AX12" s="27">
        <f t="shared" si="2"/>
        <v>450</v>
      </c>
      <c r="AY12" s="27">
        <f t="shared" si="2"/>
        <v>450</v>
      </c>
      <c r="AZ12" s="27">
        <f t="shared" si="2"/>
        <v>450</v>
      </c>
      <c r="BA12" s="27">
        <f t="shared" si="2"/>
        <v>450</v>
      </c>
      <c r="BB12" s="27">
        <f t="shared" si="2"/>
        <v>450</v>
      </c>
      <c r="BC12" s="27">
        <f t="shared" si="2"/>
        <v>450</v>
      </c>
    </row>
    <row r="13" spans="1:55" x14ac:dyDescent="0.25">
      <c r="A13" t="s">
        <v>126</v>
      </c>
      <c r="B13">
        <v>11</v>
      </c>
      <c r="C13">
        <f t="shared" si="10"/>
        <v>2001</v>
      </c>
      <c r="D13">
        <v>3000</v>
      </c>
      <c r="E13" s="27">
        <f t="shared" si="3"/>
        <v>9500</v>
      </c>
      <c r="F13" s="39">
        <v>0.95</v>
      </c>
      <c r="G13" s="27">
        <f t="shared" si="11"/>
        <v>317.84132187925564</v>
      </c>
      <c r="J13" s="27">
        <f t="shared" si="4"/>
        <v>11400</v>
      </c>
      <c r="K13" s="27">
        <f t="shared" si="5"/>
        <v>712.5</v>
      </c>
      <c r="L13" s="27">
        <f t="shared" si="5"/>
        <v>712.5</v>
      </c>
      <c r="M13" s="27">
        <f t="shared" si="5"/>
        <v>712.5</v>
      </c>
      <c r="N13" s="27">
        <f t="shared" si="5"/>
        <v>950</v>
      </c>
      <c r="O13" s="27">
        <f t="shared" si="5"/>
        <v>950</v>
      </c>
      <c r="P13" s="27">
        <f t="shared" si="5"/>
        <v>950</v>
      </c>
      <c r="Q13" s="27">
        <f t="shared" si="5"/>
        <v>475</v>
      </c>
      <c r="R13" s="27">
        <f t="shared" si="5"/>
        <v>950</v>
      </c>
      <c r="S13" s="27">
        <f t="shared" si="5"/>
        <v>712.5</v>
      </c>
      <c r="T13" s="27">
        <f t="shared" si="5"/>
        <v>475</v>
      </c>
      <c r="U13" s="27">
        <f t="shared" si="5"/>
        <v>950</v>
      </c>
      <c r="V13" s="27">
        <f t="shared" si="5"/>
        <v>950</v>
      </c>
      <c r="W13" s="27">
        <f t="shared" si="5"/>
        <v>712.5</v>
      </c>
      <c r="X13" s="27">
        <f t="shared" si="5"/>
        <v>950</v>
      </c>
      <c r="Y13" s="27">
        <f t="shared" si="5"/>
        <v>712.5</v>
      </c>
      <c r="Z13" s="27">
        <f t="shared" si="5"/>
        <v>475</v>
      </c>
      <c r="AA13" s="27">
        <f t="shared" ref="AA13:AK13" si="13">+AA$14*$F13</f>
        <v>712.5</v>
      </c>
      <c r="AB13" s="27">
        <f t="shared" si="13"/>
        <v>712.5</v>
      </c>
      <c r="AC13" s="27">
        <f t="shared" si="13"/>
        <v>950</v>
      </c>
      <c r="AD13" s="27">
        <f t="shared" si="13"/>
        <v>712.5</v>
      </c>
      <c r="AE13" s="27">
        <f t="shared" si="13"/>
        <v>475</v>
      </c>
      <c r="AF13" s="27">
        <f t="shared" si="13"/>
        <v>475</v>
      </c>
      <c r="AG13" s="27">
        <f t="shared" si="13"/>
        <v>475</v>
      </c>
      <c r="AH13" s="27">
        <f t="shared" si="13"/>
        <v>712.5</v>
      </c>
      <c r="AI13" s="27">
        <f t="shared" si="13"/>
        <v>475</v>
      </c>
      <c r="AJ13" s="27">
        <f t="shared" si="13"/>
        <v>475</v>
      </c>
      <c r="AK13" s="27">
        <f t="shared" si="13"/>
        <v>712.5</v>
      </c>
      <c r="AL13" s="27">
        <f t="shared" si="9"/>
        <v>12.895956633887144</v>
      </c>
      <c r="AM13" s="27">
        <f t="shared" si="12"/>
        <v>81.707280688754679</v>
      </c>
      <c r="AN13" s="164">
        <v>926</v>
      </c>
      <c r="AO13" s="164">
        <f t="shared" si="1"/>
        <v>19000</v>
      </c>
      <c r="AP13" s="164">
        <v>250</v>
      </c>
      <c r="AQ13" s="164">
        <v>2500</v>
      </c>
      <c r="AR13" s="164">
        <v>225</v>
      </c>
      <c r="AS13" s="164">
        <v>190</v>
      </c>
      <c r="AT13" s="164">
        <v>250</v>
      </c>
      <c r="AU13" s="27">
        <f t="shared" si="2"/>
        <v>475</v>
      </c>
      <c r="AV13" s="27">
        <f t="shared" si="2"/>
        <v>475</v>
      </c>
      <c r="AW13" s="27">
        <f t="shared" si="2"/>
        <v>475</v>
      </c>
      <c r="AX13" s="27">
        <f t="shared" si="2"/>
        <v>475</v>
      </c>
      <c r="AY13" s="27">
        <f t="shared" si="2"/>
        <v>475</v>
      </c>
      <c r="AZ13" s="27">
        <f t="shared" si="2"/>
        <v>475</v>
      </c>
      <c r="BA13" s="27">
        <f t="shared" si="2"/>
        <v>475</v>
      </c>
      <c r="BB13" s="27">
        <f t="shared" si="2"/>
        <v>475</v>
      </c>
      <c r="BC13" s="27">
        <f t="shared" si="2"/>
        <v>475</v>
      </c>
    </row>
    <row r="14" spans="1:55" x14ac:dyDescent="0.25">
      <c r="A14" t="s">
        <v>127</v>
      </c>
      <c r="B14">
        <v>12</v>
      </c>
      <c r="C14">
        <f t="shared" si="10"/>
        <v>3001</v>
      </c>
      <c r="D14">
        <v>5000</v>
      </c>
      <c r="E14" s="38">
        <v>10000</v>
      </c>
      <c r="F14" s="37"/>
      <c r="G14" s="27">
        <f t="shared" si="11"/>
        <v>311.4844954416705</v>
      </c>
      <c r="H14" s="38"/>
      <c r="I14" s="38"/>
      <c r="J14" s="38">
        <v>12000</v>
      </c>
      <c r="K14" s="38">
        <v>750</v>
      </c>
      <c r="L14" s="38">
        <v>750</v>
      </c>
      <c r="M14" s="38">
        <v>750</v>
      </c>
      <c r="N14" s="38">
        <v>1000</v>
      </c>
      <c r="O14" s="38">
        <v>1000</v>
      </c>
      <c r="P14" s="38">
        <v>1000</v>
      </c>
      <c r="Q14" s="38">
        <v>500</v>
      </c>
      <c r="R14" s="38">
        <v>1000</v>
      </c>
      <c r="S14" s="38">
        <v>750</v>
      </c>
      <c r="T14" s="38">
        <v>500</v>
      </c>
      <c r="U14" s="38">
        <v>1000</v>
      </c>
      <c r="V14" s="38">
        <v>1000</v>
      </c>
      <c r="W14" s="38">
        <v>750</v>
      </c>
      <c r="X14" s="38">
        <v>1000</v>
      </c>
      <c r="Y14" s="38">
        <v>750</v>
      </c>
      <c r="Z14" s="38">
        <v>500</v>
      </c>
      <c r="AA14" s="38">
        <v>750</v>
      </c>
      <c r="AB14" s="38">
        <v>750</v>
      </c>
      <c r="AC14" s="38">
        <v>1000</v>
      </c>
      <c r="AD14" s="38">
        <v>750</v>
      </c>
      <c r="AE14" s="38">
        <v>500</v>
      </c>
      <c r="AF14" s="38">
        <v>500</v>
      </c>
      <c r="AG14" s="38">
        <v>500</v>
      </c>
      <c r="AH14" s="38">
        <v>750</v>
      </c>
      <c r="AI14" s="38">
        <v>500</v>
      </c>
      <c r="AJ14" s="38">
        <v>500</v>
      </c>
      <c r="AK14" s="38">
        <v>750</v>
      </c>
      <c r="AL14" s="27">
        <f t="shared" si="9"/>
        <v>12.702517284378835</v>
      </c>
      <c r="AM14" s="27">
        <f t="shared" si="12"/>
        <v>80.073135074979589</v>
      </c>
      <c r="AN14" s="164">
        <v>926</v>
      </c>
      <c r="AO14" s="163">
        <v>20000</v>
      </c>
      <c r="AP14" s="163">
        <v>250</v>
      </c>
      <c r="AQ14" s="163">
        <v>2500</v>
      </c>
      <c r="AR14" s="164">
        <v>225</v>
      </c>
      <c r="AS14" s="164">
        <v>190</v>
      </c>
      <c r="AT14" s="164">
        <v>250</v>
      </c>
      <c r="AU14" s="38">
        <v>500</v>
      </c>
      <c r="AV14" s="38">
        <v>500</v>
      </c>
      <c r="AW14" s="38">
        <v>500</v>
      </c>
      <c r="AX14" s="38">
        <v>500</v>
      </c>
      <c r="AY14" s="38">
        <v>500</v>
      </c>
      <c r="AZ14" s="38">
        <v>500</v>
      </c>
      <c r="BA14" s="38">
        <v>500</v>
      </c>
      <c r="BB14" s="38">
        <v>500</v>
      </c>
      <c r="BC14" s="38">
        <v>500</v>
      </c>
    </row>
    <row r="15" spans="1:55" x14ac:dyDescent="0.25">
      <c r="AM15"/>
      <c r="AN15"/>
    </row>
    <row r="16" spans="1:55" x14ac:dyDescent="0.25">
      <c r="F16" s="86" t="s">
        <v>447</v>
      </c>
      <c r="G16" s="39">
        <v>0.02</v>
      </c>
      <c r="AL16" s="39">
        <v>1.4999999999999999E-2</v>
      </c>
      <c r="AM16" s="39">
        <v>0.02</v>
      </c>
      <c r="AN16" s="39">
        <v>0.02</v>
      </c>
    </row>
    <row r="19" spans="1:46" x14ac:dyDescent="0.25">
      <c r="A19" s="131" t="s">
        <v>636</v>
      </c>
    </row>
    <row r="20" spans="1:46" x14ac:dyDescent="0.25">
      <c r="A20" s="134" t="s">
        <v>631</v>
      </c>
      <c r="G20" s="132" t="str">
        <f>_xlfn.XLOOKUP(G$2,'Detail_Proposal_tier 1'!$A:$A,'Detail_Proposal_tier 1'!$A:$A,,0)</f>
        <v>200-10115-PCBA</v>
      </c>
      <c r="H20" s="132" t="str">
        <f>_xlfn.XLOOKUP(H$2,'Detail_Proposal_tier 1'!$A:$A,'Detail_Proposal_tier 1'!$A:$A,,0)</f>
        <v>200-50040</v>
      </c>
      <c r="I20" s="132" t="str">
        <f>_xlfn.XLOOKUP(I$2,'Detail_Proposal_tier 1'!$A:$A,'Detail_Proposal_tier 1'!$A:$A,,0)</f>
        <v>200-50041</v>
      </c>
      <c r="J20" s="132" t="str">
        <f>_xlfn.XLOOKUP(J$2,'Detail_Proposal_tier 1'!$A:$A,'Detail_Proposal_tier 1'!$A:$A,,0)</f>
        <v>200-50042</v>
      </c>
      <c r="K20" s="132" t="str">
        <f>_xlfn.XLOOKUP(K$2,'Detail_Proposal_tier 1'!$A:$A,'Detail_Proposal_tier 1'!$A:$A,,0)</f>
        <v>200-50043</v>
      </c>
      <c r="L20" s="132" t="str">
        <f>_xlfn.XLOOKUP(L$2,'Detail_Proposal_tier 1'!$A:$A,'Detail_Proposal_tier 1'!$A:$A,,0)</f>
        <v>200-50044</v>
      </c>
      <c r="M20" s="132" t="str">
        <f>_xlfn.XLOOKUP(M$2,'Detail_Proposal_tier 1'!$A:$A,'Detail_Proposal_tier 1'!$A:$A,,0)</f>
        <v>200-50045</v>
      </c>
      <c r="N20" s="132" t="str">
        <f>_xlfn.XLOOKUP(N$2,'Detail_Proposal_tier 1'!$A:$A,'Detail_Proposal_tier 1'!$A:$A,,0)</f>
        <v>200-50046</v>
      </c>
      <c r="O20" s="132" t="str">
        <f>_xlfn.XLOOKUP(O$2,'Detail_Proposal_tier 1'!$A:$A,'Detail_Proposal_tier 1'!$A:$A,,0)</f>
        <v>200-50047</v>
      </c>
      <c r="P20" s="132" t="str">
        <f>_xlfn.XLOOKUP(P$2,'Detail_Proposal_tier 1'!$A:$A,'Detail_Proposal_tier 1'!$A:$A,,0)</f>
        <v>200-50048</v>
      </c>
      <c r="Q20" s="132" t="str">
        <f>_xlfn.XLOOKUP(Q$2,'Detail_Proposal_tier 1'!$A:$A,'Detail_Proposal_tier 1'!$A:$A,,0)</f>
        <v>200-50049</v>
      </c>
      <c r="R20" s="132" t="str">
        <f>_xlfn.XLOOKUP(R$2,'Detail_Proposal_tier 1'!$A:$A,'Detail_Proposal_tier 1'!$A:$A,,0)</f>
        <v>200-50050</v>
      </c>
      <c r="S20" s="132" t="str">
        <f>_xlfn.XLOOKUP(S$2,'Detail_Proposal_tier 1'!$A:$A,'Detail_Proposal_tier 1'!$A:$A,,0)</f>
        <v>200-50051</v>
      </c>
      <c r="T20" s="132" t="str">
        <f>_xlfn.XLOOKUP(T$2,'Detail_Proposal_tier 1'!$A:$A,'Detail_Proposal_tier 1'!$A:$A,,0)</f>
        <v>200-50052</v>
      </c>
      <c r="U20" s="132" t="str">
        <f>_xlfn.XLOOKUP(U$2,'Detail_Proposal_tier 1'!$A:$A,'Detail_Proposal_tier 1'!$A:$A,,0)</f>
        <v>200-50053</v>
      </c>
      <c r="V20" s="132" t="str">
        <f>_xlfn.XLOOKUP(V$2,'Detail_Proposal_tier 1'!$A:$A,'Detail_Proposal_tier 1'!$A:$A,,0)</f>
        <v>200-50054</v>
      </c>
      <c r="W20" s="132" t="str">
        <f>_xlfn.XLOOKUP(W$2,'Detail_Proposal_tier 1'!$A:$A,'Detail_Proposal_tier 1'!$A:$A,,0)</f>
        <v>200-50055</v>
      </c>
      <c r="X20" s="132" t="str">
        <f>_xlfn.XLOOKUP(X$2,'Detail_Proposal_tier 1'!$A:$A,'Detail_Proposal_tier 1'!$A:$A,,0)</f>
        <v>200-50056</v>
      </c>
      <c r="Y20" s="132" t="str">
        <f>_xlfn.XLOOKUP(Y$2,'Detail_Proposal_tier 1'!$A:$A,'Detail_Proposal_tier 1'!$A:$A,,0)</f>
        <v>200-50057</v>
      </c>
      <c r="Z20" s="132" t="str">
        <f>_xlfn.XLOOKUP(Z$2,'Detail_Proposal_tier 1'!$A:$A,'Detail_Proposal_tier 1'!$A:$A,,0)</f>
        <v>200-50058</v>
      </c>
      <c r="AA20" s="132" t="str">
        <f>_xlfn.XLOOKUP(AA$2,'Detail_Proposal_tier 1'!$A:$A,'Detail_Proposal_tier 1'!$A:$A,,0)</f>
        <v>200-50059</v>
      </c>
      <c r="AB20" s="132" t="str">
        <f>_xlfn.XLOOKUP(AB$2,'Detail_Proposal_tier 1'!$A:$A,'Detail_Proposal_tier 1'!$A:$A,,0)</f>
        <v>200-50060</v>
      </c>
      <c r="AC20" s="132" t="str">
        <f>_xlfn.XLOOKUP(AC$2,'Detail_Proposal_tier 1'!$A:$A,'Detail_Proposal_tier 1'!$A:$A,,0)</f>
        <v>200-50061</v>
      </c>
      <c r="AD20" s="132" t="str">
        <f>_xlfn.XLOOKUP(AD$2,'Detail_Proposal_tier 1'!$A:$A,'Detail_Proposal_tier 1'!$A:$A,,0)</f>
        <v>200-50062</v>
      </c>
      <c r="AE20" s="132" t="str">
        <f>_xlfn.XLOOKUP(AE$2,'Detail_Proposal_tier 1'!$A:$A,'Detail_Proposal_tier 1'!$A:$A,,0)</f>
        <v>200-50063</v>
      </c>
      <c r="AF20" s="132" t="str">
        <f>_xlfn.XLOOKUP(AF$2,'Detail_Proposal_tier 1'!$A:$A,'Detail_Proposal_tier 1'!$A:$A,,0)</f>
        <v>200-50064</v>
      </c>
      <c r="AG20" s="132" t="str">
        <f>_xlfn.XLOOKUP(AG$2,'Detail_Proposal_tier 1'!$A:$A,'Detail_Proposal_tier 1'!$A:$A,,0)</f>
        <v>200-50065</v>
      </c>
      <c r="AH20" s="132" t="str">
        <f>_xlfn.XLOOKUP(AH$2,'Detail_Proposal_tier 1'!$A:$A,'Detail_Proposal_tier 1'!$A:$A,,0)</f>
        <v>200-50066</v>
      </c>
      <c r="AI20" s="132" t="str">
        <f>_xlfn.XLOOKUP(AI$2,'Detail_Proposal_tier 1'!$A:$A,'Detail_Proposal_tier 1'!$A:$A,,0)</f>
        <v>200-50067</v>
      </c>
      <c r="AJ20" s="132" t="str">
        <f>_xlfn.XLOOKUP(AJ$2,'Detail_Proposal_tier 1'!$A:$A,'Detail_Proposal_tier 1'!$A:$A,,0)</f>
        <v>200-50068</v>
      </c>
      <c r="AK20" s="132" t="str">
        <f>_xlfn.XLOOKUP(AK$2,'Detail_Proposal_tier 1'!$A:$A,'Detail_Proposal_tier 1'!$A:$A,,0)</f>
        <v>200-50069</v>
      </c>
      <c r="AL20" s="132" t="str">
        <f>_xlfn.XLOOKUP(AL$2,'Detail_Proposal_tier 1'!$A:$A,'Detail_Proposal_tier 1'!$A:$A,,0)</f>
        <v>200-50070</v>
      </c>
      <c r="AM20" s="132" t="str">
        <f>_xlfn.XLOOKUP(AM$2,'Detail_Proposal_tier 1'!$A:$A,'Detail_Proposal_tier 1'!$A:$A,,0)</f>
        <v>200-50007-NTS</v>
      </c>
      <c r="AN20" s="132" t="str">
        <f>_xlfn.XLOOKUP(AN$2,'Detail_Proposal_tier 1'!$A:$A,'Detail_Proposal_tier 1'!$A:$A,,0)</f>
        <v>200-50007-KT</v>
      </c>
      <c r="AO20" s="132" t="str">
        <f>_xlfn.XLOOKUP(AO$2,'Detail_Proposal_tier 1'!$A:$A,'Detail_Proposal_tier 1'!$A:$A,,0)</f>
        <v>YEAR-ACS-RTS</v>
      </c>
      <c r="AP20" s="132" t="str">
        <f>_xlfn.XLOOKUP(AP$2,'Detail_Proposal_tier 1'!$A:$A,'Detail_Proposal_tier 1'!$A:$A,,0)</f>
        <v>1000-30053</v>
      </c>
      <c r="AQ20" s="132" t="str">
        <f>_xlfn.XLOOKUP(AQ$2,'Detail_Proposal_tier 1'!$A:$A,'Detail_Proposal_tier 1'!$A:$A,,0)</f>
        <v>1000-30054</v>
      </c>
      <c r="AR20" s="132" t="str">
        <f>_xlfn.XLOOKUP(AR$2,'Detail_Proposal_tier 1'!$A:$A,'Detail_Proposal_tier 1'!$A:$A,,0)</f>
        <v>1000-30052</v>
      </c>
      <c r="AS20" s="132" t="str">
        <f>_xlfn.XLOOKUP(AS$2,'Detail_Proposal_tier 1'!$A:$A,'Detail_Proposal_tier 1'!$A:$A,,0)</f>
        <v>1000-20000</v>
      </c>
      <c r="AT20" s="132" t="str">
        <f>_xlfn.XLOOKUP(AT$2,'Detail_Proposal_tier 1'!$A:$A,'Detail_Proposal_tier 1'!$A:$A,,0)</f>
        <v>1000-30045</v>
      </c>
    </row>
    <row r="21" spans="1:46" x14ac:dyDescent="0.25">
      <c r="A21" s="134" t="s">
        <v>630</v>
      </c>
      <c r="G21" s="132" t="str">
        <f>_xlfn.XLOOKUP(G$2,'Detail_Proposal_tier 2-12'!$A:$A,'Detail_Proposal_tier 2-12'!$A:$A,,0)</f>
        <v>200-10115-PCBA</v>
      </c>
      <c r="H21" s="132" t="str">
        <f>_xlfn.XLOOKUP(H$2,'Detail_Proposal_tier 2-12'!$A:$A,'Detail_Proposal_tier 2-12'!$A:$A,,0)</f>
        <v>200-50040</v>
      </c>
      <c r="I21" s="132" t="str">
        <f>_xlfn.XLOOKUP(I$2,'Detail_Proposal_tier 2-12'!$A:$A,'Detail_Proposal_tier 2-12'!$A:$A,,0)</f>
        <v>200-50041</v>
      </c>
      <c r="J21" s="132" t="str">
        <f>_xlfn.XLOOKUP(J$2,'Detail_Proposal_tier 2-12'!$A:$A,'Detail_Proposal_tier 2-12'!$A:$A,,0)</f>
        <v>200-50042</v>
      </c>
      <c r="K21" s="132" t="str">
        <f>_xlfn.XLOOKUP(K$2,'Detail_Proposal_tier 2-12'!$A:$A,'Detail_Proposal_tier 2-12'!$A:$A,,0)</f>
        <v>200-50043</v>
      </c>
      <c r="L21" s="132" t="str">
        <f>_xlfn.XLOOKUP(L$2,'Detail_Proposal_tier 2-12'!$A:$A,'Detail_Proposal_tier 2-12'!$A:$A,,0)</f>
        <v>200-50044</v>
      </c>
      <c r="M21" s="132" t="str">
        <f>_xlfn.XLOOKUP(M$2,'Detail_Proposal_tier 2-12'!$A:$A,'Detail_Proposal_tier 2-12'!$A:$A,,0)</f>
        <v>200-50045</v>
      </c>
      <c r="N21" s="132" t="str">
        <f>_xlfn.XLOOKUP(N$2,'Detail_Proposal_tier 2-12'!$A:$A,'Detail_Proposal_tier 2-12'!$A:$A,,0)</f>
        <v>200-50046</v>
      </c>
      <c r="O21" s="132" t="str">
        <f>_xlfn.XLOOKUP(O$2,'Detail_Proposal_tier 2-12'!$A:$A,'Detail_Proposal_tier 2-12'!$A:$A,,0)</f>
        <v>200-50047</v>
      </c>
      <c r="P21" s="132" t="str">
        <f>_xlfn.XLOOKUP(P$2,'Detail_Proposal_tier 2-12'!$A:$A,'Detail_Proposal_tier 2-12'!$A:$A,,0)</f>
        <v>200-50048</v>
      </c>
      <c r="Q21" s="132" t="str">
        <f>_xlfn.XLOOKUP(Q$2,'Detail_Proposal_tier 2-12'!$A:$A,'Detail_Proposal_tier 2-12'!$A:$A,,0)</f>
        <v>200-50049</v>
      </c>
      <c r="R21" s="132" t="str">
        <f>_xlfn.XLOOKUP(R$2,'Detail_Proposal_tier 2-12'!$A:$A,'Detail_Proposal_tier 2-12'!$A:$A,,0)</f>
        <v>200-50050</v>
      </c>
      <c r="S21" s="132" t="str">
        <f>_xlfn.XLOOKUP(S$2,'Detail_Proposal_tier 2-12'!$A:$A,'Detail_Proposal_tier 2-12'!$A:$A,,0)</f>
        <v>200-50051</v>
      </c>
      <c r="T21" s="132" t="str">
        <f>_xlfn.XLOOKUP(T$2,'Detail_Proposal_tier 2-12'!$A:$A,'Detail_Proposal_tier 2-12'!$A:$A,,0)</f>
        <v>200-50052</v>
      </c>
      <c r="U21" s="132" t="str">
        <f>_xlfn.XLOOKUP(U$2,'Detail_Proposal_tier 2-12'!$A:$A,'Detail_Proposal_tier 2-12'!$A:$A,,0)</f>
        <v>200-50053</v>
      </c>
      <c r="V21" s="132" t="str">
        <f>_xlfn.XLOOKUP(V$2,'Detail_Proposal_tier 2-12'!$A:$A,'Detail_Proposal_tier 2-12'!$A:$A,,0)</f>
        <v>200-50054</v>
      </c>
      <c r="W21" s="132" t="str">
        <f>_xlfn.XLOOKUP(W$2,'Detail_Proposal_tier 2-12'!$A:$A,'Detail_Proposal_tier 2-12'!$A:$A,,0)</f>
        <v>200-50055</v>
      </c>
      <c r="X21" s="132" t="str">
        <f>_xlfn.XLOOKUP(X$2,'Detail_Proposal_tier 2-12'!$A:$A,'Detail_Proposal_tier 2-12'!$A:$A,,0)</f>
        <v>200-50056</v>
      </c>
      <c r="Y21" s="132" t="str">
        <f>_xlfn.XLOOKUP(Y$2,'Detail_Proposal_tier 2-12'!$A:$A,'Detail_Proposal_tier 2-12'!$A:$A,,0)</f>
        <v>200-50057</v>
      </c>
      <c r="Z21" s="132" t="str">
        <f>_xlfn.XLOOKUP(Z$2,'Detail_Proposal_tier 2-12'!$A:$A,'Detail_Proposal_tier 2-12'!$A:$A,,0)</f>
        <v>200-50058</v>
      </c>
      <c r="AA21" s="132" t="str">
        <f>_xlfn.XLOOKUP(AA$2,'Detail_Proposal_tier 2-12'!$A:$A,'Detail_Proposal_tier 2-12'!$A:$A,,0)</f>
        <v>200-50059</v>
      </c>
      <c r="AB21" s="132" t="str">
        <f>_xlfn.XLOOKUP(AB$2,'Detail_Proposal_tier 2-12'!$A:$A,'Detail_Proposal_tier 2-12'!$A:$A,,0)</f>
        <v>200-50060</v>
      </c>
      <c r="AC21" s="132" t="str">
        <f>_xlfn.XLOOKUP(AC$2,'Detail_Proposal_tier 2-12'!$A:$A,'Detail_Proposal_tier 2-12'!$A:$A,,0)</f>
        <v>200-50061</v>
      </c>
      <c r="AD21" s="132" t="str">
        <f>_xlfn.XLOOKUP(AD$2,'Detail_Proposal_tier 2-12'!$A:$A,'Detail_Proposal_tier 2-12'!$A:$A,,0)</f>
        <v>200-50062</v>
      </c>
      <c r="AE21" s="132" t="str">
        <f>_xlfn.XLOOKUP(AE$2,'Detail_Proposal_tier 2-12'!$A:$A,'Detail_Proposal_tier 2-12'!$A:$A,,0)</f>
        <v>200-50063</v>
      </c>
      <c r="AF21" s="132" t="str">
        <f>_xlfn.XLOOKUP(AF$2,'Detail_Proposal_tier 2-12'!$A:$A,'Detail_Proposal_tier 2-12'!$A:$A,,0)</f>
        <v>200-50064</v>
      </c>
      <c r="AG21" s="132" t="str">
        <f>_xlfn.XLOOKUP(AG$2,'Detail_Proposal_tier 2-12'!$A:$A,'Detail_Proposal_tier 2-12'!$A:$A,,0)</f>
        <v>200-50065</v>
      </c>
      <c r="AH21" s="132" t="str">
        <f>_xlfn.XLOOKUP(AH$2,'Detail_Proposal_tier 2-12'!$A:$A,'Detail_Proposal_tier 2-12'!$A:$A,,0)</f>
        <v>200-50066</v>
      </c>
      <c r="AI21" s="132" t="str">
        <f>_xlfn.XLOOKUP(AI$2,'Detail_Proposal_tier 2-12'!$A:$A,'Detail_Proposal_tier 2-12'!$A:$A,,0)</f>
        <v>200-50067</v>
      </c>
      <c r="AJ21" s="132" t="str">
        <f>_xlfn.XLOOKUP(AJ$2,'Detail_Proposal_tier 2-12'!$A:$A,'Detail_Proposal_tier 2-12'!$A:$A,,0)</f>
        <v>200-50068</v>
      </c>
      <c r="AK21" s="132" t="str">
        <f>_xlfn.XLOOKUP(AK$2,'Detail_Proposal_tier 2-12'!$A:$A,'Detail_Proposal_tier 2-12'!$A:$A,,0)</f>
        <v>200-50069</v>
      </c>
      <c r="AL21" s="132" t="str">
        <f>_xlfn.XLOOKUP(AL$2,'Detail_Proposal_tier 2-12'!$A:$A,'Detail_Proposal_tier 2-12'!$A:$A,,0)</f>
        <v>200-50070</v>
      </c>
      <c r="AM21" s="132" t="str">
        <f>_xlfn.XLOOKUP(AM$2,'Detail_Proposal_tier 2-12'!$A:$A,'Detail_Proposal_tier 2-12'!$A:$A,,0)</f>
        <v>200-50007-NTS</v>
      </c>
      <c r="AN21" s="132" t="str">
        <f>_xlfn.XLOOKUP(AN$2,'Detail_Proposal_tier 2-12'!$A:$A,'Detail_Proposal_tier 2-12'!$A:$A,,0)</f>
        <v>200-50007-KT</v>
      </c>
      <c r="AO21" s="132" t="str">
        <f>_xlfn.XLOOKUP(AO$2,'Detail_Proposal_tier 2-12'!$A:$A,'Detail_Proposal_tier 2-12'!$A:$A,,0)</f>
        <v>YEAR-ACS-RTS</v>
      </c>
      <c r="AP21" s="132" t="str">
        <f>_xlfn.XLOOKUP(AP$2,'Detail_Proposal_tier 2-12'!$A:$A,'Detail_Proposal_tier 2-12'!$A:$A,,0)</f>
        <v>1000-30053</v>
      </c>
      <c r="AQ21" s="132" t="str">
        <f>_xlfn.XLOOKUP(AQ$2,'Detail_Proposal_tier 2-12'!$A:$A,'Detail_Proposal_tier 2-12'!$A:$A,,0)</f>
        <v>1000-30054</v>
      </c>
      <c r="AR21" s="132" t="str">
        <f>_xlfn.XLOOKUP(AR$2,'Detail_Proposal_tier 2-12'!$A:$A,'Detail_Proposal_tier 2-12'!$A:$A,,0)</f>
        <v>1000-30052</v>
      </c>
      <c r="AS21" s="132" t="str">
        <f>_xlfn.XLOOKUP(AS$2,'Detail_Proposal_tier 2-12'!$A:$A,'Detail_Proposal_tier 2-12'!$A:$A,,0)</f>
        <v>1000-20000</v>
      </c>
      <c r="AT21" s="132" t="str">
        <f>_xlfn.XLOOKUP(AT$2,'Detail_Proposal_tier 2-12'!$A:$A,'Detail_Proposal_tier 2-12'!$A:$A,,0)</f>
        <v>1000-30045</v>
      </c>
    </row>
  </sheetData>
  <sheetProtection formatCells="0" formatColumns="0" formatRows="0" sort="0" pivotTables="0"/>
  <sortState xmlns:xlrd2="http://schemas.microsoft.com/office/spreadsheetml/2017/richdata2" ref="A3:A11">
    <sortCondition ref="A3:A11"/>
  </sortState>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DCE12-2868-4574-934B-3F21D89F5F1E}">
  <sheetPr codeName="Sheet8"/>
  <dimension ref="A1:C154"/>
  <sheetViews>
    <sheetView workbookViewId="0">
      <pane xSplit="1" ySplit="1" topLeftCell="B100" activePane="bottomRight" state="frozen"/>
      <selection pane="topRight" activeCell="B1" sqref="B1"/>
      <selection pane="bottomLeft" activeCell="A2" sqref="A2"/>
      <selection pane="bottomRight" activeCell="A110" sqref="A110"/>
    </sheetView>
  </sheetViews>
  <sheetFormatPr defaultRowHeight="15" customHeight="1" x14ac:dyDescent="0.25"/>
  <cols>
    <col min="1" max="1" width="44" style="63" customWidth="1"/>
    <col min="2" max="2" width="13.5703125" style="64" customWidth="1"/>
    <col min="3" max="3" width="14" style="63" customWidth="1"/>
  </cols>
  <sheetData>
    <row r="1" spans="1:3" ht="15" customHeight="1" x14ac:dyDescent="0.25">
      <c r="A1" s="95" t="s">
        <v>564</v>
      </c>
      <c r="B1" s="95" t="s">
        <v>565</v>
      </c>
      <c r="C1" s="95" t="s">
        <v>566</v>
      </c>
    </row>
    <row r="2" spans="1:3" ht="15" customHeight="1" x14ac:dyDescent="0.25">
      <c r="A2" s="63" t="s">
        <v>448</v>
      </c>
      <c r="B2" s="64">
        <v>0</v>
      </c>
      <c r="C2" s="63" t="s">
        <v>567</v>
      </c>
    </row>
    <row r="3" spans="1:3" ht="15" customHeight="1" x14ac:dyDescent="0.25">
      <c r="A3" s="63" t="s">
        <v>484</v>
      </c>
      <c r="B3" s="64">
        <v>0</v>
      </c>
      <c r="C3" s="63" t="s">
        <v>567</v>
      </c>
    </row>
    <row r="4" spans="1:3" ht="15" customHeight="1" x14ac:dyDescent="0.25">
      <c r="A4" s="63" t="s">
        <v>497</v>
      </c>
      <c r="B4" s="64">
        <v>0</v>
      </c>
      <c r="C4" s="63" t="s">
        <v>572</v>
      </c>
    </row>
    <row r="5" spans="1:3" ht="15" customHeight="1" x14ac:dyDescent="0.25">
      <c r="A5" s="63" t="s">
        <v>498</v>
      </c>
      <c r="B5" s="64">
        <v>0</v>
      </c>
      <c r="C5" s="63" t="s">
        <v>572</v>
      </c>
    </row>
    <row r="6" spans="1:3" ht="15" customHeight="1" x14ac:dyDescent="0.25">
      <c r="A6" s="63" t="s">
        <v>591</v>
      </c>
      <c r="B6" s="64">
        <v>0</v>
      </c>
      <c r="C6" s="63" t="s">
        <v>569</v>
      </c>
    </row>
    <row r="7" spans="1:3" ht="15" customHeight="1" x14ac:dyDescent="0.25">
      <c r="A7" s="63" t="s">
        <v>595</v>
      </c>
      <c r="B7" s="64">
        <v>0</v>
      </c>
      <c r="C7" s="63" t="s">
        <v>569</v>
      </c>
    </row>
    <row r="8" spans="1:3" ht="15" customHeight="1" x14ac:dyDescent="0.25">
      <c r="A8" s="63" t="s">
        <v>513</v>
      </c>
      <c r="B8" s="64">
        <v>0</v>
      </c>
      <c r="C8" s="63" t="s">
        <v>569</v>
      </c>
    </row>
    <row r="9" spans="1:3" ht="15" customHeight="1" x14ac:dyDescent="0.25">
      <c r="A9" s="63" t="s">
        <v>449</v>
      </c>
      <c r="B9" s="64">
        <v>0</v>
      </c>
      <c r="C9" s="63" t="s">
        <v>568</v>
      </c>
    </row>
    <row r="10" spans="1:3" ht="15" customHeight="1" x14ac:dyDescent="0.25">
      <c r="A10" s="63" t="s">
        <v>530</v>
      </c>
      <c r="B10" s="64">
        <v>0</v>
      </c>
      <c r="C10" s="63" t="s">
        <v>569</v>
      </c>
    </row>
    <row r="11" spans="1:3" ht="15" customHeight="1" x14ac:dyDescent="0.25">
      <c r="A11" s="63" t="s">
        <v>582</v>
      </c>
      <c r="B11" s="64">
        <v>0</v>
      </c>
      <c r="C11" s="63" t="s">
        <v>569</v>
      </c>
    </row>
    <row r="12" spans="1:3" ht="15" customHeight="1" x14ac:dyDescent="0.25">
      <c r="A12" s="63" t="s">
        <v>643</v>
      </c>
      <c r="B12" s="64">
        <v>0</v>
      </c>
      <c r="C12" s="63" t="s">
        <v>568</v>
      </c>
    </row>
    <row r="13" spans="1:3" ht="15" customHeight="1" x14ac:dyDescent="0.25">
      <c r="A13" s="63" t="s">
        <v>531</v>
      </c>
      <c r="B13" s="64">
        <v>0</v>
      </c>
      <c r="C13" s="63" t="s">
        <v>568</v>
      </c>
    </row>
    <row r="14" spans="1:3" ht="15" customHeight="1" x14ac:dyDescent="0.25">
      <c r="A14" s="63" t="s">
        <v>450</v>
      </c>
      <c r="B14" s="64">
        <v>0</v>
      </c>
      <c r="C14" s="63" t="s">
        <v>568</v>
      </c>
    </row>
    <row r="15" spans="1:3" ht="15" customHeight="1" x14ac:dyDescent="0.25">
      <c r="A15" s="63" t="s">
        <v>451</v>
      </c>
      <c r="B15" s="64">
        <v>0</v>
      </c>
      <c r="C15" s="63" t="s">
        <v>568</v>
      </c>
    </row>
    <row r="16" spans="1:3" ht="15" customHeight="1" x14ac:dyDescent="0.25">
      <c r="A16" s="63" t="s">
        <v>499</v>
      </c>
      <c r="B16" s="64">
        <v>0</v>
      </c>
      <c r="C16" s="63" t="s">
        <v>567</v>
      </c>
    </row>
    <row r="17" spans="1:3" ht="15" customHeight="1" x14ac:dyDescent="0.25">
      <c r="A17" s="63" t="s">
        <v>264</v>
      </c>
      <c r="B17" s="64">
        <v>0</v>
      </c>
      <c r="C17" s="63" t="s">
        <v>567</v>
      </c>
    </row>
    <row r="18" spans="1:3" ht="15" customHeight="1" x14ac:dyDescent="0.25">
      <c r="A18" s="63" t="s">
        <v>583</v>
      </c>
      <c r="B18" s="64">
        <v>0</v>
      </c>
      <c r="C18" s="63" t="s">
        <v>568</v>
      </c>
    </row>
    <row r="19" spans="1:3" ht="15" customHeight="1" x14ac:dyDescent="0.25">
      <c r="A19" s="63" t="s">
        <v>580</v>
      </c>
      <c r="B19" s="64">
        <v>0</v>
      </c>
      <c r="C19" s="63" t="s">
        <v>568</v>
      </c>
    </row>
    <row r="20" spans="1:3" ht="15" customHeight="1" x14ac:dyDescent="0.25">
      <c r="A20" s="63" t="s">
        <v>409</v>
      </c>
      <c r="B20" s="64">
        <v>0</v>
      </c>
      <c r="C20" s="63" t="s">
        <v>569</v>
      </c>
    </row>
    <row r="21" spans="1:3" ht="15" customHeight="1" x14ac:dyDescent="0.25">
      <c r="A21" s="63" t="s">
        <v>500</v>
      </c>
      <c r="B21" s="64">
        <v>0</v>
      </c>
      <c r="C21" s="63" t="s">
        <v>567</v>
      </c>
    </row>
    <row r="22" spans="1:3" ht="15" customHeight="1" x14ac:dyDescent="0.25">
      <c r="A22" s="63" t="s">
        <v>533</v>
      </c>
      <c r="B22" s="64">
        <v>0</v>
      </c>
      <c r="C22" s="63" t="s">
        <v>572</v>
      </c>
    </row>
    <row r="23" spans="1:3" ht="15" customHeight="1" x14ac:dyDescent="0.25">
      <c r="A23" s="63" t="s">
        <v>514</v>
      </c>
      <c r="B23" s="64">
        <v>0</v>
      </c>
      <c r="C23" s="63" t="s">
        <v>568</v>
      </c>
    </row>
    <row r="24" spans="1:3" ht="15" customHeight="1" x14ac:dyDescent="0.25">
      <c r="A24" s="63" t="s">
        <v>561</v>
      </c>
      <c r="B24" s="64">
        <v>0</v>
      </c>
      <c r="C24" s="63" t="s">
        <v>569</v>
      </c>
    </row>
    <row r="25" spans="1:3" ht="15" customHeight="1" x14ac:dyDescent="0.25">
      <c r="A25" s="63" t="s">
        <v>557</v>
      </c>
      <c r="B25" s="64">
        <v>0</v>
      </c>
      <c r="C25" s="63" t="s">
        <v>569</v>
      </c>
    </row>
    <row r="26" spans="1:3" ht="15" customHeight="1" x14ac:dyDescent="0.25">
      <c r="A26" s="63" t="s">
        <v>452</v>
      </c>
      <c r="B26" s="64">
        <v>0</v>
      </c>
      <c r="C26" s="63" t="s">
        <v>570</v>
      </c>
    </row>
    <row r="27" spans="1:3" ht="15" customHeight="1" x14ac:dyDescent="0.25">
      <c r="A27" s="63" t="s">
        <v>485</v>
      </c>
      <c r="B27" s="64">
        <v>0</v>
      </c>
      <c r="C27" s="63" t="s">
        <v>568</v>
      </c>
    </row>
    <row r="28" spans="1:3" ht="15" customHeight="1" x14ac:dyDescent="0.25">
      <c r="A28" s="63" t="s">
        <v>501</v>
      </c>
      <c r="B28" s="64">
        <v>0</v>
      </c>
      <c r="C28" s="63" t="s">
        <v>568</v>
      </c>
    </row>
    <row r="29" spans="1:3" ht="15" customHeight="1" x14ac:dyDescent="0.25">
      <c r="A29" s="63" t="s">
        <v>515</v>
      </c>
      <c r="B29" s="64">
        <v>0</v>
      </c>
      <c r="C29" s="63" t="s">
        <v>568</v>
      </c>
    </row>
    <row r="30" spans="1:3" ht="15" customHeight="1" x14ac:dyDescent="0.25">
      <c r="A30" s="63" t="s">
        <v>563</v>
      </c>
      <c r="B30" s="64">
        <v>0</v>
      </c>
      <c r="C30" s="63" t="s">
        <v>567</v>
      </c>
    </row>
    <row r="31" spans="1:3" ht="15" customHeight="1" x14ac:dyDescent="0.25">
      <c r="A31" s="63" t="s">
        <v>596</v>
      </c>
      <c r="B31" s="64">
        <v>0</v>
      </c>
      <c r="C31" s="63" t="s">
        <v>568</v>
      </c>
    </row>
    <row r="32" spans="1:3" ht="15" customHeight="1" x14ac:dyDescent="0.25">
      <c r="A32" s="63" t="s">
        <v>453</v>
      </c>
      <c r="B32" s="64">
        <v>0</v>
      </c>
      <c r="C32" s="63" t="s">
        <v>570</v>
      </c>
    </row>
    <row r="33" spans="1:3" ht="15" customHeight="1" x14ac:dyDescent="0.25">
      <c r="A33" s="63" t="s">
        <v>516</v>
      </c>
      <c r="B33" s="64">
        <v>0</v>
      </c>
      <c r="C33" s="63" t="s">
        <v>569</v>
      </c>
    </row>
    <row r="34" spans="1:3" ht="15" customHeight="1" x14ac:dyDescent="0.25">
      <c r="A34" s="63" t="s">
        <v>534</v>
      </c>
      <c r="B34" s="64">
        <v>0</v>
      </c>
      <c r="C34" s="63" t="s">
        <v>569</v>
      </c>
    </row>
    <row r="35" spans="1:3" ht="15" customHeight="1" x14ac:dyDescent="0.25">
      <c r="A35" s="63" t="s">
        <v>517</v>
      </c>
      <c r="B35" s="64">
        <v>0</v>
      </c>
      <c r="C35" s="63" t="s">
        <v>567</v>
      </c>
    </row>
    <row r="36" spans="1:3" ht="15" customHeight="1" x14ac:dyDescent="0.25">
      <c r="A36" s="63" t="s">
        <v>454</v>
      </c>
      <c r="B36" s="64">
        <v>0</v>
      </c>
      <c r="C36" s="63" t="s">
        <v>567</v>
      </c>
    </row>
    <row r="37" spans="1:3" ht="15" customHeight="1" x14ac:dyDescent="0.25">
      <c r="A37" s="63" t="s">
        <v>455</v>
      </c>
      <c r="B37" s="64">
        <v>0</v>
      </c>
      <c r="C37" s="63" t="s">
        <v>568</v>
      </c>
    </row>
    <row r="38" spans="1:3" ht="15" customHeight="1" x14ac:dyDescent="0.25">
      <c r="A38" s="63" t="s">
        <v>598</v>
      </c>
      <c r="B38" s="64">
        <v>0</v>
      </c>
      <c r="C38" s="63" t="s">
        <v>572</v>
      </c>
    </row>
    <row r="39" spans="1:3" ht="15" customHeight="1" x14ac:dyDescent="0.25">
      <c r="A39" s="63" t="s">
        <v>574</v>
      </c>
      <c r="B39" s="64">
        <v>0</v>
      </c>
      <c r="C39" s="63" t="s">
        <v>568</v>
      </c>
    </row>
    <row r="40" spans="1:3" ht="15" customHeight="1" x14ac:dyDescent="0.25">
      <c r="A40" s="63" t="s">
        <v>486</v>
      </c>
      <c r="B40" s="64">
        <v>0</v>
      </c>
      <c r="C40" s="63" t="s">
        <v>567</v>
      </c>
    </row>
    <row r="41" spans="1:3" ht="15" customHeight="1" x14ac:dyDescent="0.25">
      <c r="A41" s="63" t="s">
        <v>502</v>
      </c>
      <c r="B41" s="64">
        <v>0</v>
      </c>
      <c r="C41" s="63" t="s">
        <v>569</v>
      </c>
    </row>
    <row r="42" spans="1:3" ht="15" customHeight="1" x14ac:dyDescent="0.25">
      <c r="A42" s="63" t="s">
        <v>503</v>
      </c>
      <c r="B42" s="64">
        <v>0</v>
      </c>
      <c r="C42" s="63" t="s">
        <v>569</v>
      </c>
    </row>
    <row r="43" spans="1:3" ht="15" customHeight="1" x14ac:dyDescent="0.25">
      <c r="A43" s="63" t="s">
        <v>518</v>
      </c>
      <c r="B43" s="64">
        <v>0</v>
      </c>
      <c r="C43" s="63" t="s">
        <v>568</v>
      </c>
    </row>
    <row r="44" spans="1:3" ht="15" customHeight="1" x14ac:dyDescent="0.25">
      <c r="A44" s="63" t="s">
        <v>504</v>
      </c>
      <c r="B44" s="64">
        <v>0</v>
      </c>
      <c r="C44" s="63" t="s">
        <v>569</v>
      </c>
    </row>
    <row r="45" spans="1:3" ht="15" customHeight="1" x14ac:dyDescent="0.25">
      <c r="A45" s="63" t="s">
        <v>456</v>
      </c>
      <c r="B45" s="64">
        <v>0</v>
      </c>
      <c r="C45" s="63" t="s">
        <v>568</v>
      </c>
    </row>
    <row r="46" spans="1:3" ht="15" customHeight="1" x14ac:dyDescent="0.25">
      <c r="A46" s="63" t="s">
        <v>535</v>
      </c>
      <c r="B46" s="64">
        <v>0</v>
      </c>
      <c r="C46" s="63" t="s">
        <v>569</v>
      </c>
    </row>
    <row r="47" spans="1:3" ht="15" customHeight="1" x14ac:dyDescent="0.25">
      <c r="A47" s="63" t="s">
        <v>457</v>
      </c>
      <c r="B47" s="64">
        <v>0</v>
      </c>
      <c r="C47" s="63" t="s">
        <v>568</v>
      </c>
    </row>
    <row r="48" spans="1:3" ht="15" customHeight="1" x14ac:dyDescent="0.25">
      <c r="A48" s="63" t="s">
        <v>505</v>
      </c>
      <c r="B48" s="64">
        <v>0</v>
      </c>
      <c r="C48" s="63" t="s">
        <v>567</v>
      </c>
    </row>
    <row r="49" spans="1:3" ht="15" customHeight="1" x14ac:dyDescent="0.25">
      <c r="A49" s="63" t="s">
        <v>536</v>
      </c>
      <c r="B49" s="64">
        <v>0</v>
      </c>
      <c r="C49" s="63" t="s">
        <v>568</v>
      </c>
    </row>
    <row r="50" spans="1:3" ht="15" customHeight="1" x14ac:dyDescent="0.25">
      <c r="A50" s="63" t="s">
        <v>458</v>
      </c>
      <c r="B50" s="64">
        <v>0</v>
      </c>
      <c r="C50" s="63" t="s">
        <v>568</v>
      </c>
    </row>
    <row r="51" spans="1:3" ht="15" customHeight="1" x14ac:dyDescent="0.25">
      <c r="A51" s="63" t="s">
        <v>537</v>
      </c>
      <c r="B51" s="64">
        <v>0</v>
      </c>
      <c r="C51" s="63" t="s">
        <v>568</v>
      </c>
    </row>
    <row r="52" spans="1:3" ht="15" customHeight="1" x14ac:dyDescent="0.25">
      <c r="A52" s="63" t="s">
        <v>459</v>
      </c>
      <c r="B52" s="64">
        <v>0</v>
      </c>
      <c r="C52" s="63" t="s">
        <v>568</v>
      </c>
    </row>
    <row r="53" spans="1:3" ht="15" customHeight="1" x14ac:dyDescent="0.25">
      <c r="A53" s="63" t="s">
        <v>588</v>
      </c>
      <c r="B53" s="64">
        <v>0</v>
      </c>
      <c r="C53" s="63" t="s">
        <v>568</v>
      </c>
    </row>
    <row r="54" spans="1:3" ht="15" customHeight="1" x14ac:dyDescent="0.25">
      <c r="A54" s="63" t="s">
        <v>559</v>
      </c>
      <c r="B54" s="64">
        <v>0</v>
      </c>
      <c r="C54" s="63" t="s">
        <v>572</v>
      </c>
    </row>
    <row r="55" spans="1:3" ht="15" customHeight="1" x14ac:dyDescent="0.25">
      <c r="A55" s="63" t="s">
        <v>597</v>
      </c>
      <c r="B55" s="64">
        <v>0</v>
      </c>
      <c r="C55" s="63" t="s">
        <v>568</v>
      </c>
    </row>
    <row r="56" spans="1:3" ht="15" customHeight="1" x14ac:dyDescent="0.25">
      <c r="A56" s="63" t="s">
        <v>460</v>
      </c>
      <c r="B56" s="64">
        <v>0</v>
      </c>
      <c r="C56" s="63" t="s">
        <v>568</v>
      </c>
    </row>
    <row r="57" spans="1:3" ht="15" customHeight="1" x14ac:dyDescent="0.25">
      <c r="A57" s="63" t="s">
        <v>532</v>
      </c>
      <c r="B57" s="64">
        <v>0</v>
      </c>
      <c r="C57" s="63" t="s">
        <v>572</v>
      </c>
    </row>
    <row r="58" spans="1:3" ht="15" customHeight="1" x14ac:dyDescent="0.25">
      <c r="A58" s="63" t="s">
        <v>461</v>
      </c>
      <c r="B58" s="64">
        <v>0</v>
      </c>
      <c r="C58" s="63" t="s">
        <v>568</v>
      </c>
    </row>
    <row r="59" spans="1:3" ht="15" customHeight="1" x14ac:dyDescent="0.25">
      <c r="A59" s="63" t="s">
        <v>538</v>
      </c>
      <c r="B59" s="64">
        <v>0</v>
      </c>
      <c r="C59" s="63" t="s">
        <v>569</v>
      </c>
    </row>
    <row r="60" spans="1:3" ht="15" customHeight="1" x14ac:dyDescent="0.25">
      <c r="A60" s="63" t="s">
        <v>587</v>
      </c>
      <c r="B60" s="64">
        <v>0</v>
      </c>
      <c r="C60" s="63" t="s">
        <v>568</v>
      </c>
    </row>
    <row r="61" spans="1:3" ht="15" customHeight="1" x14ac:dyDescent="0.25">
      <c r="A61" s="63" t="s">
        <v>519</v>
      </c>
      <c r="B61" s="64">
        <v>0</v>
      </c>
      <c r="C61" s="63" t="s">
        <v>570</v>
      </c>
    </row>
    <row r="62" spans="1:3" ht="15" customHeight="1" x14ac:dyDescent="0.25">
      <c r="A62" s="63" t="s">
        <v>539</v>
      </c>
      <c r="B62" s="64">
        <v>0</v>
      </c>
      <c r="C62" s="63" t="s">
        <v>567</v>
      </c>
    </row>
    <row r="63" spans="1:3" ht="15" customHeight="1" x14ac:dyDescent="0.25">
      <c r="A63" s="63" t="s">
        <v>592</v>
      </c>
      <c r="B63" s="64">
        <v>0</v>
      </c>
      <c r="C63" s="63" t="s">
        <v>568</v>
      </c>
    </row>
    <row r="64" spans="1:3" ht="15" customHeight="1" x14ac:dyDescent="0.25">
      <c r="A64" s="63" t="s">
        <v>579</v>
      </c>
      <c r="B64" s="64">
        <v>0</v>
      </c>
      <c r="C64" s="63" t="s">
        <v>568</v>
      </c>
    </row>
    <row r="65" spans="1:3" ht="15" customHeight="1" x14ac:dyDescent="0.25">
      <c r="A65" s="63" t="s">
        <v>487</v>
      </c>
      <c r="B65" s="64">
        <v>0</v>
      </c>
      <c r="C65" s="63" t="s">
        <v>572</v>
      </c>
    </row>
    <row r="66" spans="1:3" ht="15" customHeight="1" x14ac:dyDescent="0.25">
      <c r="A66" s="63" t="s">
        <v>562</v>
      </c>
      <c r="B66" s="64">
        <v>0</v>
      </c>
      <c r="C66" s="63" t="s">
        <v>571</v>
      </c>
    </row>
    <row r="67" spans="1:3" ht="15" customHeight="1" x14ac:dyDescent="0.25">
      <c r="A67" s="63" t="s">
        <v>540</v>
      </c>
      <c r="B67" s="64">
        <v>0</v>
      </c>
      <c r="C67" s="63" t="s">
        <v>568</v>
      </c>
    </row>
    <row r="68" spans="1:3" ht="15" customHeight="1" x14ac:dyDescent="0.25">
      <c r="A68" s="63" t="s">
        <v>520</v>
      </c>
      <c r="B68" s="64">
        <v>0</v>
      </c>
      <c r="C68" s="63" t="s">
        <v>568</v>
      </c>
    </row>
    <row r="69" spans="1:3" ht="15" customHeight="1" x14ac:dyDescent="0.25">
      <c r="A69" s="63" t="s">
        <v>521</v>
      </c>
      <c r="B69" s="64">
        <v>0</v>
      </c>
      <c r="C69" s="63" t="s">
        <v>567</v>
      </c>
    </row>
    <row r="70" spans="1:3" ht="15" customHeight="1" x14ac:dyDescent="0.25">
      <c r="A70" s="63" t="s">
        <v>558</v>
      </c>
      <c r="B70" s="64">
        <v>0</v>
      </c>
      <c r="C70" s="63" t="s">
        <v>569</v>
      </c>
    </row>
    <row r="71" spans="1:3" ht="15" customHeight="1" x14ac:dyDescent="0.25">
      <c r="A71" s="63" t="s">
        <v>506</v>
      </c>
      <c r="B71" s="64">
        <v>0</v>
      </c>
      <c r="C71" s="63" t="s">
        <v>569</v>
      </c>
    </row>
    <row r="72" spans="1:3" ht="15" customHeight="1" x14ac:dyDescent="0.25">
      <c r="A72" s="63" t="s">
        <v>488</v>
      </c>
      <c r="B72" s="64">
        <v>0</v>
      </c>
      <c r="C72" s="63" t="s">
        <v>567</v>
      </c>
    </row>
    <row r="73" spans="1:3" ht="15" customHeight="1" x14ac:dyDescent="0.25">
      <c r="A73" s="63" t="s">
        <v>462</v>
      </c>
      <c r="B73" s="64">
        <v>0</v>
      </c>
      <c r="C73" s="63" t="s">
        <v>568</v>
      </c>
    </row>
    <row r="74" spans="1:3" ht="15" customHeight="1" x14ac:dyDescent="0.25">
      <c r="A74" s="63" t="s">
        <v>581</v>
      </c>
      <c r="B74" s="64">
        <v>0</v>
      </c>
      <c r="C74" s="63" t="s">
        <v>568</v>
      </c>
    </row>
    <row r="75" spans="1:3" ht="15" customHeight="1" x14ac:dyDescent="0.25">
      <c r="A75" s="63" t="s">
        <v>463</v>
      </c>
      <c r="B75" s="64">
        <v>0</v>
      </c>
      <c r="C75" s="63" t="s">
        <v>568</v>
      </c>
    </row>
    <row r="76" spans="1:3" ht="15" customHeight="1" x14ac:dyDescent="0.25">
      <c r="A76" s="63" t="s">
        <v>464</v>
      </c>
      <c r="B76" s="64">
        <v>0</v>
      </c>
      <c r="C76" s="63" t="s">
        <v>568</v>
      </c>
    </row>
    <row r="77" spans="1:3" ht="15" customHeight="1" x14ac:dyDescent="0.25">
      <c r="A77" s="63" t="s">
        <v>465</v>
      </c>
      <c r="B77" s="64">
        <v>0</v>
      </c>
      <c r="C77" s="63" t="s">
        <v>568</v>
      </c>
    </row>
    <row r="78" spans="1:3" ht="15" customHeight="1" x14ac:dyDescent="0.25">
      <c r="A78" s="63" t="s">
        <v>507</v>
      </c>
      <c r="B78" s="64">
        <v>0</v>
      </c>
      <c r="C78" s="63" t="s">
        <v>567</v>
      </c>
    </row>
    <row r="79" spans="1:3" ht="15" customHeight="1" x14ac:dyDescent="0.25">
      <c r="A79" s="63" t="s">
        <v>217</v>
      </c>
      <c r="B79" s="64">
        <v>0</v>
      </c>
      <c r="C79" s="63" t="s">
        <v>567</v>
      </c>
    </row>
    <row r="80" spans="1:3" ht="15" customHeight="1" x14ac:dyDescent="0.25">
      <c r="A80" s="63" t="s">
        <v>541</v>
      </c>
      <c r="B80" s="64">
        <v>0</v>
      </c>
      <c r="C80" s="63" t="s">
        <v>572</v>
      </c>
    </row>
    <row r="81" spans="1:3" ht="15" customHeight="1" x14ac:dyDescent="0.25">
      <c r="A81" s="63" t="s">
        <v>466</v>
      </c>
      <c r="B81" s="64">
        <v>0</v>
      </c>
      <c r="C81" s="63" t="s">
        <v>568</v>
      </c>
    </row>
    <row r="82" spans="1:3" ht="15" customHeight="1" x14ac:dyDescent="0.25">
      <c r="A82" s="63" t="s">
        <v>542</v>
      </c>
      <c r="B82" s="64">
        <v>0</v>
      </c>
      <c r="C82" s="63" t="s">
        <v>567</v>
      </c>
    </row>
    <row r="83" spans="1:3" ht="15" customHeight="1" x14ac:dyDescent="0.25">
      <c r="A83" s="63" t="s">
        <v>467</v>
      </c>
      <c r="B83" s="64">
        <v>0</v>
      </c>
      <c r="C83" s="63" t="s">
        <v>568</v>
      </c>
    </row>
    <row r="84" spans="1:3" ht="15" customHeight="1" x14ac:dyDescent="0.25">
      <c r="A84" s="63" t="s">
        <v>468</v>
      </c>
      <c r="B84" s="64">
        <v>0</v>
      </c>
      <c r="C84" s="63" t="s">
        <v>568</v>
      </c>
    </row>
    <row r="85" spans="1:3" ht="15" customHeight="1" x14ac:dyDescent="0.25">
      <c r="A85" s="63" t="s">
        <v>393</v>
      </c>
      <c r="B85" s="64">
        <v>0</v>
      </c>
      <c r="C85" s="63" t="s">
        <v>567</v>
      </c>
    </row>
    <row r="86" spans="1:3" ht="15" customHeight="1" x14ac:dyDescent="0.25">
      <c r="A86" s="63" t="s">
        <v>590</v>
      </c>
      <c r="B86" s="64">
        <v>0</v>
      </c>
      <c r="C86" s="63" t="s">
        <v>569</v>
      </c>
    </row>
    <row r="87" spans="1:3" ht="15" customHeight="1" x14ac:dyDescent="0.25">
      <c r="A87" s="63" t="s">
        <v>469</v>
      </c>
      <c r="B87" s="64">
        <v>0</v>
      </c>
      <c r="C87" s="63" t="s">
        <v>570</v>
      </c>
    </row>
    <row r="88" spans="1:3" ht="15" customHeight="1" x14ac:dyDescent="0.25">
      <c r="A88" s="63" t="s">
        <v>401</v>
      </c>
      <c r="B88" s="64">
        <v>0</v>
      </c>
      <c r="C88" s="63" t="s">
        <v>569</v>
      </c>
    </row>
    <row r="89" spans="1:3" ht="15" customHeight="1" x14ac:dyDescent="0.25">
      <c r="A89" s="63" t="s">
        <v>543</v>
      </c>
      <c r="B89" s="64">
        <v>0</v>
      </c>
      <c r="C89" s="63" t="s">
        <v>570</v>
      </c>
    </row>
    <row r="90" spans="1:3" ht="15" customHeight="1" x14ac:dyDescent="0.25">
      <c r="A90" s="63" t="s">
        <v>470</v>
      </c>
      <c r="B90" s="64">
        <v>0</v>
      </c>
      <c r="C90" s="63" t="s">
        <v>570</v>
      </c>
    </row>
    <row r="91" spans="1:3" ht="15" customHeight="1" x14ac:dyDescent="0.25">
      <c r="A91" s="63" t="s">
        <v>544</v>
      </c>
      <c r="B91" s="64">
        <v>0</v>
      </c>
      <c r="C91" s="63" t="s">
        <v>567</v>
      </c>
    </row>
    <row r="92" spans="1:3" ht="15" customHeight="1" x14ac:dyDescent="0.25">
      <c r="A92" s="63" t="s">
        <v>471</v>
      </c>
      <c r="B92" s="64">
        <v>0</v>
      </c>
      <c r="C92" s="63" t="s">
        <v>568</v>
      </c>
    </row>
    <row r="93" spans="1:3" ht="15" customHeight="1" x14ac:dyDescent="0.25">
      <c r="A93" s="63" t="s">
        <v>584</v>
      </c>
      <c r="B93" s="64">
        <v>0</v>
      </c>
      <c r="C93" s="63" t="s">
        <v>568</v>
      </c>
    </row>
    <row r="94" spans="1:3" ht="15" customHeight="1" x14ac:dyDescent="0.25">
      <c r="A94" s="63" t="s">
        <v>545</v>
      </c>
      <c r="B94" s="64">
        <v>0</v>
      </c>
      <c r="C94" s="63" t="s">
        <v>567</v>
      </c>
    </row>
    <row r="95" spans="1:3" ht="15" customHeight="1" x14ac:dyDescent="0.25">
      <c r="A95" s="63" t="s">
        <v>508</v>
      </c>
      <c r="B95" s="64">
        <v>0</v>
      </c>
      <c r="C95" s="63" t="s">
        <v>567</v>
      </c>
    </row>
    <row r="96" spans="1:3" ht="15" customHeight="1" x14ac:dyDescent="0.25">
      <c r="A96" s="63" t="s">
        <v>509</v>
      </c>
      <c r="B96" s="64">
        <v>0</v>
      </c>
      <c r="C96" s="63" t="s">
        <v>568</v>
      </c>
    </row>
    <row r="97" spans="1:3" ht="15" customHeight="1" x14ac:dyDescent="0.25">
      <c r="A97" s="63" t="s">
        <v>510</v>
      </c>
      <c r="B97" s="64">
        <v>0</v>
      </c>
      <c r="C97" s="63" t="s">
        <v>567</v>
      </c>
    </row>
    <row r="98" spans="1:3" ht="15" customHeight="1" x14ac:dyDescent="0.25">
      <c r="A98" s="63" t="s">
        <v>546</v>
      </c>
      <c r="B98" s="64">
        <v>0</v>
      </c>
      <c r="C98" s="63" t="s">
        <v>569</v>
      </c>
    </row>
    <row r="99" spans="1:3" ht="15" customHeight="1" x14ac:dyDescent="0.25">
      <c r="A99" s="63" t="s">
        <v>522</v>
      </c>
      <c r="B99" s="64">
        <v>0</v>
      </c>
      <c r="C99" s="63" t="s">
        <v>570</v>
      </c>
    </row>
    <row r="100" spans="1:3" ht="15" customHeight="1" x14ac:dyDescent="0.25">
      <c r="A100" s="63" t="s">
        <v>560</v>
      </c>
      <c r="B100" s="64">
        <v>0</v>
      </c>
      <c r="C100" s="63" t="s">
        <v>572</v>
      </c>
    </row>
    <row r="101" spans="1:3" ht="15" customHeight="1" x14ac:dyDescent="0.25">
      <c r="A101" s="63" t="s">
        <v>489</v>
      </c>
      <c r="B101" s="64">
        <v>0</v>
      </c>
      <c r="C101" s="63" t="s">
        <v>568</v>
      </c>
    </row>
    <row r="102" spans="1:3" ht="15" customHeight="1" x14ac:dyDescent="0.25">
      <c r="A102" s="63" t="s">
        <v>472</v>
      </c>
      <c r="B102" s="64">
        <v>0</v>
      </c>
      <c r="C102" s="63" t="s">
        <v>569</v>
      </c>
    </row>
    <row r="103" spans="1:3" ht="15" customHeight="1" x14ac:dyDescent="0.25">
      <c r="A103" s="63" t="s">
        <v>556</v>
      </c>
      <c r="B103" s="64">
        <v>0</v>
      </c>
      <c r="C103" s="63" t="s">
        <v>568</v>
      </c>
    </row>
    <row r="104" spans="1:3" ht="15" customHeight="1" x14ac:dyDescent="0.25">
      <c r="A104" s="63" t="s">
        <v>547</v>
      </c>
      <c r="B104" s="64">
        <v>0</v>
      </c>
      <c r="C104" s="63" t="s">
        <v>569</v>
      </c>
    </row>
    <row r="105" spans="1:3" ht="15" customHeight="1" x14ac:dyDescent="0.25">
      <c r="A105" s="63" t="s">
        <v>585</v>
      </c>
      <c r="B105" s="64">
        <v>0</v>
      </c>
      <c r="C105" s="63" t="s">
        <v>569</v>
      </c>
    </row>
    <row r="106" spans="1:3" ht="15" customHeight="1" x14ac:dyDescent="0.25">
      <c r="A106" s="63" t="s">
        <v>523</v>
      </c>
      <c r="B106" s="64">
        <v>0</v>
      </c>
      <c r="C106" s="63" t="s">
        <v>572</v>
      </c>
    </row>
    <row r="107" spans="1:3" ht="15" customHeight="1" x14ac:dyDescent="0.25">
      <c r="A107" s="63" t="s">
        <v>599</v>
      </c>
      <c r="B107" s="64">
        <v>0</v>
      </c>
      <c r="C107" s="63" t="s">
        <v>568</v>
      </c>
    </row>
    <row r="108" spans="1:3" ht="15" customHeight="1" x14ac:dyDescent="0.25">
      <c r="A108" s="63" t="s">
        <v>573</v>
      </c>
      <c r="B108" s="64">
        <v>0</v>
      </c>
      <c r="C108" s="63" t="s">
        <v>568</v>
      </c>
    </row>
    <row r="109" spans="1:3" ht="15" customHeight="1" x14ac:dyDescent="0.25">
      <c r="A109" s="63" t="s">
        <v>613</v>
      </c>
      <c r="B109" s="64">
        <v>0</v>
      </c>
      <c r="C109" s="63" t="s">
        <v>568</v>
      </c>
    </row>
    <row r="110" spans="1:3" ht="15" customHeight="1" x14ac:dyDescent="0.25">
      <c r="A110" s="63" t="s">
        <v>524</v>
      </c>
      <c r="B110" s="64">
        <v>0</v>
      </c>
      <c r="C110" s="63" t="s">
        <v>568</v>
      </c>
    </row>
    <row r="111" spans="1:3" ht="15" customHeight="1" x14ac:dyDescent="0.25">
      <c r="A111" s="63" t="s">
        <v>490</v>
      </c>
      <c r="B111" s="64">
        <v>0</v>
      </c>
      <c r="C111" s="63" t="s">
        <v>572</v>
      </c>
    </row>
    <row r="112" spans="1:3" ht="15" customHeight="1" x14ac:dyDescent="0.25">
      <c r="A112" s="63" t="s">
        <v>473</v>
      </c>
      <c r="B112" s="64">
        <v>0</v>
      </c>
      <c r="C112" s="63" t="s">
        <v>567</v>
      </c>
    </row>
    <row r="113" spans="1:3" ht="15" customHeight="1" x14ac:dyDescent="0.25">
      <c r="A113" s="63" t="s">
        <v>525</v>
      </c>
      <c r="B113" s="64">
        <v>0</v>
      </c>
      <c r="C113" s="63" t="s">
        <v>567</v>
      </c>
    </row>
    <row r="114" spans="1:3" ht="15" customHeight="1" x14ac:dyDescent="0.25">
      <c r="A114" s="63" t="s">
        <v>548</v>
      </c>
      <c r="B114" s="64">
        <v>0</v>
      </c>
      <c r="C114" s="63" t="s">
        <v>567</v>
      </c>
    </row>
    <row r="115" spans="1:3" ht="15" customHeight="1" x14ac:dyDescent="0.25">
      <c r="A115" s="63" t="s">
        <v>589</v>
      </c>
      <c r="B115" s="64">
        <v>0</v>
      </c>
      <c r="C115" s="63" t="s">
        <v>569</v>
      </c>
    </row>
    <row r="116" spans="1:3" ht="15" customHeight="1" x14ac:dyDescent="0.25">
      <c r="A116" s="63" t="s">
        <v>549</v>
      </c>
      <c r="B116" s="64">
        <v>0</v>
      </c>
      <c r="C116" s="63" t="s">
        <v>569</v>
      </c>
    </row>
    <row r="117" spans="1:3" ht="15" customHeight="1" x14ac:dyDescent="0.25">
      <c r="A117" s="63" t="s">
        <v>405</v>
      </c>
      <c r="B117" s="64">
        <v>0</v>
      </c>
      <c r="C117" s="63" t="s">
        <v>572</v>
      </c>
    </row>
    <row r="118" spans="1:3" ht="15" customHeight="1" x14ac:dyDescent="0.25">
      <c r="A118" s="63" t="s">
        <v>474</v>
      </c>
      <c r="B118" s="64">
        <v>0</v>
      </c>
      <c r="C118" s="63" t="s">
        <v>568</v>
      </c>
    </row>
    <row r="119" spans="1:3" ht="15" customHeight="1" x14ac:dyDescent="0.25">
      <c r="A119" s="63" t="s">
        <v>511</v>
      </c>
      <c r="B119" s="64">
        <v>0</v>
      </c>
      <c r="C119" s="63" t="s">
        <v>568</v>
      </c>
    </row>
    <row r="120" spans="1:3" ht="15" customHeight="1" x14ac:dyDescent="0.25">
      <c r="A120" s="63" t="s">
        <v>594</v>
      </c>
      <c r="B120" s="64">
        <v>0</v>
      </c>
      <c r="C120" s="63" t="s">
        <v>569</v>
      </c>
    </row>
    <row r="121" spans="1:3" ht="15" customHeight="1" x14ac:dyDescent="0.25">
      <c r="A121" s="63" t="s">
        <v>512</v>
      </c>
      <c r="B121" s="64">
        <v>0</v>
      </c>
      <c r="C121" s="63" t="s">
        <v>568</v>
      </c>
    </row>
    <row r="122" spans="1:3" ht="15" customHeight="1" x14ac:dyDescent="0.25">
      <c r="A122" s="63" t="s">
        <v>600</v>
      </c>
      <c r="B122" s="64">
        <v>0</v>
      </c>
      <c r="C122" s="63" t="s">
        <v>568</v>
      </c>
    </row>
    <row r="123" spans="1:3" ht="15" customHeight="1" x14ac:dyDescent="0.25">
      <c r="A123" s="63" t="s">
        <v>550</v>
      </c>
      <c r="B123" s="64">
        <v>0</v>
      </c>
      <c r="C123" s="63" t="s">
        <v>572</v>
      </c>
    </row>
    <row r="124" spans="1:3" ht="15" customHeight="1" x14ac:dyDescent="0.25">
      <c r="A124" s="63" t="s">
        <v>576</v>
      </c>
      <c r="B124" s="64">
        <v>0</v>
      </c>
      <c r="C124" s="63" t="s">
        <v>572</v>
      </c>
    </row>
    <row r="125" spans="1:3" ht="15" customHeight="1" x14ac:dyDescent="0.25">
      <c r="A125" s="63" t="s">
        <v>593</v>
      </c>
      <c r="B125" s="64">
        <v>0</v>
      </c>
      <c r="C125" s="63" t="s">
        <v>569</v>
      </c>
    </row>
    <row r="126" spans="1:3" ht="15" customHeight="1" x14ac:dyDescent="0.25">
      <c r="A126" s="63" t="s">
        <v>491</v>
      </c>
      <c r="B126" s="64">
        <v>0</v>
      </c>
      <c r="C126" s="63" t="s">
        <v>572</v>
      </c>
    </row>
    <row r="127" spans="1:3" ht="15" customHeight="1" x14ac:dyDescent="0.25">
      <c r="A127" s="63" t="s">
        <v>526</v>
      </c>
      <c r="B127" s="64">
        <v>0</v>
      </c>
      <c r="C127" s="63" t="s">
        <v>567</v>
      </c>
    </row>
    <row r="128" spans="1:3" ht="15" customHeight="1" x14ac:dyDescent="0.25">
      <c r="A128" s="63" t="s">
        <v>601</v>
      </c>
      <c r="B128" s="64">
        <v>0</v>
      </c>
      <c r="C128" s="63" t="s">
        <v>568</v>
      </c>
    </row>
    <row r="129" spans="1:3" ht="15" customHeight="1" x14ac:dyDescent="0.25">
      <c r="A129" s="63" t="s">
        <v>492</v>
      </c>
      <c r="B129" s="64">
        <v>0</v>
      </c>
      <c r="C129" s="63" t="s">
        <v>568</v>
      </c>
    </row>
    <row r="130" spans="1:3" ht="15" customHeight="1" x14ac:dyDescent="0.25">
      <c r="A130" s="63" t="s">
        <v>475</v>
      </c>
      <c r="B130" s="64">
        <v>0</v>
      </c>
      <c r="C130" s="63" t="s">
        <v>570</v>
      </c>
    </row>
    <row r="131" spans="1:3" ht="15" customHeight="1" x14ac:dyDescent="0.25">
      <c r="A131" s="63" t="s">
        <v>493</v>
      </c>
      <c r="B131" s="64">
        <v>0</v>
      </c>
      <c r="C131" s="63" t="s">
        <v>570</v>
      </c>
    </row>
    <row r="132" spans="1:3" ht="15" customHeight="1" x14ac:dyDescent="0.25">
      <c r="A132" s="63" t="s">
        <v>551</v>
      </c>
      <c r="B132" s="64">
        <v>0</v>
      </c>
      <c r="C132" s="63" t="s">
        <v>569</v>
      </c>
    </row>
    <row r="133" spans="1:3" ht="15" customHeight="1" x14ac:dyDescent="0.25">
      <c r="A133" s="63" t="s">
        <v>552</v>
      </c>
      <c r="B133" s="64">
        <v>0</v>
      </c>
      <c r="C133" s="63" t="s">
        <v>567</v>
      </c>
    </row>
    <row r="134" spans="1:3" ht="15" customHeight="1" x14ac:dyDescent="0.25">
      <c r="A134" s="63" t="s">
        <v>476</v>
      </c>
      <c r="B134" s="64">
        <v>0</v>
      </c>
      <c r="C134" s="63" t="s">
        <v>568</v>
      </c>
    </row>
    <row r="135" spans="1:3" ht="15" customHeight="1" x14ac:dyDescent="0.25">
      <c r="A135" s="63" t="s">
        <v>578</v>
      </c>
      <c r="B135" s="64">
        <v>0</v>
      </c>
      <c r="C135" s="63" t="s">
        <v>569</v>
      </c>
    </row>
    <row r="136" spans="1:3" ht="15" customHeight="1" x14ac:dyDescent="0.25">
      <c r="A136" s="63" t="s">
        <v>477</v>
      </c>
      <c r="B136" s="64">
        <v>0</v>
      </c>
      <c r="C136" s="63" t="s">
        <v>572</v>
      </c>
    </row>
    <row r="137" spans="1:3" ht="15" customHeight="1" x14ac:dyDescent="0.25">
      <c r="A137" s="63" t="s">
        <v>494</v>
      </c>
      <c r="B137" s="64">
        <v>0</v>
      </c>
      <c r="C137" s="63" t="s">
        <v>568</v>
      </c>
    </row>
    <row r="138" spans="1:3" ht="15" customHeight="1" x14ac:dyDescent="0.25">
      <c r="A138" s="63" t="s">
        <v>575</v>
      </c>
      <c r="B138" s="64">
        <v>0</v>
      </c>
      <c r="C138" s="63" t="s">
        <v>567</v>
      </c>
    </row>
    <row r="139" spans="1:3" ht="15" customHeight="1" x14ac:dyDescent="0.25">
      <c r="A139" s="63" t="s">
        <v>527</v>
      </c>
      <c r="B139" s="64">
        <v>0</v>
      </c>
      <c r="C139" s="63" t="s">
        <v>568</v>
      </c>
    </row>
    <row r="140" spans="1:3" ht="15" customHeight="1" x14ac:dyDescent="0.25">
      <c r="A140" s="63" t="s">
        <v>586</v>
      </c>
      <c r="B140" s="64">
        <v>0</v>
      </c>
      <c r="C140" s="63" t="s">
        <v>568</v>
      </c>
    </row>
    <row r="141" spans="1:3" ht="15" customHeight="1" x14ac:dyDescent="0.25">
      <c r="A141" s="63" t="s">
        <v>478</v>
      </c>
      <c r="B141" s="64">
        <v>0</v>
      </c>
      <c r="C141" s="63" t="s">
        <v>568</v>
      </c>
    </row>
    <row r="142" spans="1:3" ht="15" customHeight="1" x14ac:dyDescent="0.25">
      <c r="A142" s="63" t="s">
        <v>479</v>
      </c>
      <c r="B142" s="64">
        <v>0</v>
      </c>
      <c r="C142" s="63" t="s">
        <v>567</v>
      </c>
    </row>
    <row r="143" spans="1:3" ht="15" customHeight="1" x14ac:dyDescent="0.25">
      <c r="A143" s="63" t="s">
        <v>376</v>
      </c>
      <c r="B143" s="64">
        <v>0</v>
      </c>
      <c r="C143" s="63" t="s">
        <v>568</v>
      </c>
    </row>
    <row r="144" spans="1:3" ht="15" customHeight="1" x14ac:dyDescent="0.25">
      <c r="A144" s="63" t="s">
        <v>553</v>
      </c>
      <c r="B144" s="64">
        <v>0</v>
      </c>
      <c r="C144" s="63" t="s">
        <v>572</v>
      </c>
    </row>
    <row r="145" spans="1:3" ht="15" customHeight="1" x14ac:dyDescent="0.25">
      <c r="A145" s="63" t="s">
        <v>480</v>
      </c>
      <c r="B145" s="64">
        <v>0</v>
      </c>
      <c r="C145" s="63" t="s">
        <v>569</v>
      </c>
    </row>
    <row r="146" spans="1:3" ht="15" customHeight="1" x14ac:dyDescent="0.25">
      <c r="A146" s="63" t="s">
        <v>495</v>
      </c>
      <c r="B146" s="64">
        <v>0</v>
      </c>
      <c r="C146" s="63" t="s">
        <v>568</v>
      </c>
    </row>
    <row r="147" spans="1:3" ht="15" customHeight="1" x14ac:dyDescent="0.25">
      <c r="A147" s="63" t="s">
        <v>481</v>
      </c>
      <c r="B147" s="64">
        <v>0</v>
      </c>
      <c r="C147" s="63" t="s">
        <v>568</v>
      </c>
    </row>
    <row r="148" spans="1:3" ht="15" customHeight="1" x14ac:dyDescent="0.25">
      <c r="A148" s="63" t="s">
        <v>496</v>
      </c>
      <c r="B148" s="64">
        <v>0</v>
      </c>
      <c r="C148" s="63" t="s">
        <v>567</v>
      </c>
    </row>
    <row r="149" spans="1:3" ht="15" customHeight="1" x14ac:dyDescent="0.25">
      <c r="A149" s="63" t="s">
        <v>482</v>
      </c>
      <c r="B149" s="64">
        <v>0</v>
      </c>
      <c r="C149" s="63" t="s">
        <v>567</v>
      </c>
    </row>
    <row r="150" spans="1:3" ht="15" customHeight="1" x14ac:dyDescent="0.25">
      <c r="A150" s="63" t="s">
        <v>554</v>
      </c>
      <c r="B150" s="64">
        <v>0</v>
      </c>
      <c r="C150" s="63" t="s">
        <v>568</v>
      </c>
    </row>
    <row r="151" spans="1:3" ht="15" customHeight="1" x14ac:dyDescent="0.25">
      <c r="A151" s="63" t="s">
        <v>555</v>
      </c>
      <c r="B151" s="64">
        <v>0</v>
      </c>
      <c r="C151" s="63" t="s">
        <v>567</v>
      </c>
    </row>
    <row r="152" spans="1:3" ht="15" customHeight="1" x14ac:dyDescent="0.25">
      <c r="A152" s="63" t="s">
        <v>528</v>
      </c>
      <c r="B152" s="64">
        <v>0</v>
      </c>
      <c r="C152" s="63" t="s">
        <v>568</v>
      </c>
    </row>
    <row r="153" spans="1:3" ht="15" customHeight="1" x14ac:dyDescent="0.25">
      <c r="A153" s="63" t="s">
        <v>483</v>
      </c>
      <c r="B153" s="64">
        <v>0</v>
      </c>
      <c r="C153" s="63" t="s">
        <v>568</v>
      </c>
    </row>
    <row r="154" spans="1:3" ht="15" customHeight="1" x14ac:dyDescent="0.25">
      <c r="A154" s="63" t="s">
        <v>529</v>
      </c>
      <c r="B154" s="64">
        <v>0</v>
      </c>
      <c r="C154" s="63" t="s">
        <v>572</v>
      </c>
    </row>
  </sheetData>
  <autoFilter ref="A1:C152" xr:uid="{151DCE12-2868-4574-934B-3F21D89F5F1E}"/>
  <sortState xmlns:xlrd2="http://schemas.microsoft.com/office/spreadsheetml/2017/richdata2" ref="A2:C154">
    <sortCondition ref="A2:A154"/>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6283A-21ED-4118-97D1-BA1C8B4FDD27}">
  <sheetPr codeName="Sheet9"/>
  <dimension ref="A1:B250"/>
  <sheetViews>
    <sheetView workbookViewId="0">
      <pane xSplit="1" ySplit="1" topLeftCell="B2" activePane="bottomRight" state="frozen"/>
      <selection pane="topRight" activeCell="B1" sqref="B1"/>
      <selection pane="bottomLeft" activeCell="A2" sqref="A2"/>
      <selection pane="bottomRight" activeCell="L19" sqref="L19"/>
    </sheetView>
  </sheetViews>
  <sheetFormatPr defaultRowHeight="15" x14ac:dyDescent="0.25"/>
  <cols>
    <col min="1" max="1" width="32.140625" style="63" customWidth="1"/>
    <col min="2" max="2" width="13.7109375" style="64" customWidth="1"/>
  </cols>
  <sheetData>
    <row r="1" spans="1:2" x14ac:dyDescent="0.25">
      <c r="A1" s="94" t="s">
        <v>427</v>
      </c>
      <c r="B1" s="95" t="s">
        <v>428</v>
      </c>
    </row>
    <row r="2" spans="1:2" x14ac:dyDescent="0.25">
      <c r="A2" s="63" t="s">
        <v>182</v>
      </c>
      <c r="B2" s="64">
        <v>0</v>
      </c>
    </row>
    <row r="3" spans="1:2" x14ac:dyDescent="0.25">
      <c r="A3" s="63" t="s">
        <v>347</v>
      </c>
      <c r="B3" s="64">
        <v>0</v>
      </c>
    </row>
    <row r="4" spans="1:2" x14ac:dyDescent="0.25">
      <c r="A4" s="63" t="s">
        <v>348</v>
      </c>
      <c r="B4" s="64">
        <v>0</v>
      </c>
    </row>
    <row r="5" spans="1:2" x14ac:dyDescent="0.25">
      <c r="A5" s="63" t="s">
        <v>183</v>
      </c>
      <c r="B5" s="64">
        <v>0</v>
      </c>
    </row>
    <row r="6" spans="1:2" x14ac:dyDescent="0.25">
      <c r="A6" s="63" t="s">
        <v>307</v>
      </c>
      <c r="B6" s="64">
        <v>0</v>
      </c>
    </row>
    <row r="7" spans="1:2" x14ac:dyDescent="0.25">
      <c r="A7" s="63" t="s">
        <v>184</v>
      </c>
      <c r="B7" s="64">
        <v>0</v>
      </c>
    </row>
    <row r="8" spans="1:2" x14ac:dyDescent="0.25">
      <c r="A8" s="63" t="s">
        <v>349</v>
      </c>
      <c r="B8" s="64">
        <v>0</v>
      </c>
    </row>
    <row r="9" spans="1:2" x14ac:dyDescent="0.25">
      <c r="A9" s="63" t="s">
        <v>185</v>
      </c>
      <c r="B9" s="64">
        <v>0</v>
      </c>
    </row>
    <row r="10" spans="1:2" x14ac:dyDescent="0.25">
      <c r="A10" s="63" t="s">
        <v>396</v>
      </c>
      <c r="B10" s="64">
        <v>0</v>
      </c>
    </row>
    <row r="11" spans="1:2" x14ac:dyDescent="0.25">
      <c r="A11" s="63" t="s">
        <v>186</v>
      </c>
      <c r="B11" s="64">
        <v>0</v>
      </c>
    </row>
    <row r="12" spans="1:2" x14ac:dyDescent="0.25">
      <c r="A12" s="63" t="s">
        <v>382</v>
      </c>
      <c r="B12" s="64">
        <v>0</v>
      </c>
    </row>
    <row r="13" spans="1:2" x14ac:dyDescent="0.25">
      <c r="A13" s="63" t="s">
        <v>287</v>
      </c>
      <c r="B13" s="64">
        <v>0</v>
      </c>
    </row>
    <row r="14" spans="1:2" x14ac:dyDescent="0.25">
      <c r="A14" s="63" t="s">
        <v>308</v>
      </c>
      <c r="B14" s="64">
        <v>0</v>
      </c>
    </row>
    <row r="15" spans="1:2" x14ac:dyDescent="0.25">
      <c r="A15" s="63" t="s">
        <v>402</v>
      </c>
      <c r="B15" s="64">
        <v>0</v>
      </c>
    </row>
    <row r="16" spans="1:2" x14ac:dyDescent="0.25">
      <c r="A16" s="63" t="s">
        <v>309</v>
      </c>
      <c r="B16" s="64">
        <v>0</v>
      </c>
    </row>
    <row r="17" spans="1:2" x14ac:dyDescent="0.25">
      <c r="A17" s="63" t="s">
        <v>187</v>
      </c>
      <c r="B17" s="64">
        <v>0</v>
      </c>
    </row>
    <row r="18" spans="1:2" x14ac:dyDescent="0.25">
      <c r="A18" s="63" t="s">
        <v>188</v>
      </c>
      <c r="B18" s="64">
        <v>0</v>
      </c>
    </row>
    <row r="19" spans="1:2" x14ac:dyDescent="0.25">
      <c r="A19" s="63" t="s">
        <v>350</v>
      </c>
      <c r="B19" s="64">
        <v>0</v>
      </c>
    </row>
    <row r="20" spans="1:2" x14ac:dyDescent="0.25">
      <c r="A20" s="63" t="s">
        <v>288</v>
      </c>
      <c r="B20" s="64">
        <v>0</v>
      </c>
    </row>
    <row r="21" spans="1:2" x14ac:dyDescent="0.25">
      <c r="A21" s="63" t="s">
        <v>417</v>
      </c>
      <c r="B21" s="64">
        <v>0</v>
      </c>
    </row>
    <row r="22" spans="1:2" x14ac:dyDescent="0.25">
      <c r="A22" s="63" t="s">
        <v>310</v>
      </c>
      <c r="B22" s="64">
        <v>0</v>
      </c>
    </row>
    <row r="23" spans="1:2" x14ac:dyDescent="0.25">
      <c r="A23" s="63" t="s">
        <v>189</v>
      </c>
      <c r="B23" s="64">
        <v>0</v>
      </c>
    </row>
    <row r="24" spans="1:2" x14ac:dyDescent="0.25">
      <c r="A24" s="63" t="s">
        <v>383</v>
      </c>
      <c r="B24" s="64">
        <v>0</v>
      </c>
    </row>
    <row r="25" spans="1:2" x14ac:dyDescent="0.25">
      <c r="A25" s="63" t="s">
        <v>351</v>
      </c>
      <c r="B25" s="64">
        <v>0</v>
      </c>
    </row>
    <row r="26" spans="1:2" x14ac:dyDescent="0.25">
      <c r="A26" s="63" t="s">
        <v>262</v>
      </c>
      <c r="B26" s="64">
        <v>0</v>
      </c>
    </row>
    <row r="27" spans="1:2" x14ac:dyDescent="0.25">
      <c r="A27" s="63" t="s">
        <v>311</v>
      </c>
      <c r="B27" s="64">
        <v>0</v>
      </c>
    </row>
    <row r="28" spans="1:2" x14ac:dyDescent="0.25">
      <c r="A28" s="63" t="s">
        <v>426</v>
      </c>
      <c r="B28" s="64">
        <v>0</v>
      </c>
    </row>
    <row r="29" spans="1:2" x14ac:dyDescent="0.25">
      <c r="A29" s="63" t="s">
        <v>418</v>
      </c>
      <c r="B29" s="64">
        <v>0</v>
      </c>
    </row>
    <row r="30" spans="1:2" x14ac:dyDescent="0.25">
      <c r="A30" s="63" t="s">
        <v>263</v>
      </c>
      <c r="B30" s="64">
        <v>0</v>
      </c>
    </row>
    <row r="31" spans="1:2" x14ac:dyDescent="0.25">
      <c r="A31" s="63" t="s">
        <v>312</v>
      </c>
      <c r="B31" s="64">
        <v>0</v>
      </c>
    </row>
    <row r="32" spans="1:2" x14ac:dyDescent="0.25">
      <c r="A32" s="63" t="s">
        <v>384</v>
      </c>
      <c r="B32" s="64">
        <v>0</v>
      </c>
    </row>
    <row r="33" spans="1:2" x14ac:dyDescent="0.25">
      <c r="A33" s="63" t="s">
        <v>429</v>
      </c>
      <c r="B33" s="64">
        <v>0</v>
      </c>
    </row>
    <row r="34" spans="1:2" x14ac:dyDescent="0.25">
      <c r="A34" s="63" t="s">
        <v>352</v>
      </c>
      <c r="B34" s="64">
        <v>0</v>
      </c>
    </row>
    <row r="35" spans="1:2" x14ac:dyDescent="0.25">
      <c r="A35" s="63" t="s">
        <v>190</v>
      </c>
      <c r="B35" s="64">
        <v>0</v>
      </c>
    </row>
    <row r="36" spans="1:2" x14ac:dyDescent="0.25">
      <c r="A36" s="63" t="s">
        <v>191</v>
      </c>
      <c r="B36" s="64">
        <v>0</v>
      </c>
    </row>
    <row r="37" spans="1:2" x14ac:dyDescent="0.25">
      <c r="A37" s="63" t="s">
        <v>192</v>
      </c>
      <c r="B37" s="64">
        <v>0</v>
      </c>
    </row>
    <row r="38" spans="1:2" x14ac:dyDescent="0.25">
      <c r="A38" s="63" t="s">
        <v>408</v>
      </c>
      <c r="B38" s="64">
        <v>0</v>
      </c>
    </row>
    <row r="39" spans="1:2" x14ac:dyDescent="0.25">
      <c r="A39" s="63" t="s">
        <v>193</v>
      </c>
      <c r="B39" s="64">
        <v>0</v>
      </c>
    </row>
    <row r="40" spans="1:2" x14ac:dyDescent="0.25">
      <c r="A40" s="63" t="s">
        <v>313</v>
      </c>
      <c r="B40" s="64">
        <v>0.25</v>
      </c>
    </row>
    <row r="41" spans="1:2" x14ac:dyDescent="0.25">
      <c r="A41" s="63" t="s">
        <v>314</v>
      </c>
      <c r="B41" s="64">
        <v>0</v>
      </c>
    </row>
    <row r="42" spans="1:2" x14ac:dyDescent="0.25">
      <c r="A42" s="63" t="s">
        <v>289</v>
      </c>
      <c r="B42" s="64">
        <v>0</v>
      </c>
    </row>
    <row r="43" spans="1:2" x14ac:dyDescent="0.25">
      <c r="A43" s="63" t="s">
        <v>290</v>
      </c>
      <c r="B43" s="64">
        <v>0</v>
      </c>
    </row>
    <row r="44" spans="1:2" x14ac:dyDescent="0.25">
      <c r="A44" s="63" t="s">
        <v>409</v>
      </c>
      <c r="B44" s="64">
        <v>0</v>
      </c>
    </row>
    <row r="45" spans="1:2" x14ac:dyDescent="0.25">
      <c r="A45" s="63" t="s">
        <v>419</v>
      </c>
      <c r="B45" s="64">
        <v>0</v>
      </c>
    </row>
    <row r="46" spans="1:2" x14ac:dyDescent="0.25">
      <c r="A46" s="63" t="s">
        <v>265</v>
      </c>
      <c r="B46" s="64">
        <v>0</v>
      </c>
    </row>
    <row r="47" spans="1:2" x14ac:dyDescent="0.25">
      <c r="A47" s="63" t="s">
        <v>315</v>
      </c>
      <c r="B47" s="64">
        <v>0</v>
      </c>
    </row>
    <row r="48" spans="1:2" x14ac:dyDescent="0.25">
      <c r="A48" s="63" t="s">
        <v>194</v>
      </c>
      <c r="B48" s="64">
        <v>0.25</v>
      </c>
    </row>
    <row r="49" spans="1:2" x14ac:dyDescent="0.25">
      <c r="A49" s="63" t="s">
        <v>353</v>
      </c>
      <c r="B49" s="64">
        <v>0</v>
      </c>
    </row>
    <row r="50" spans="1:2" x14ac:dyDescent="0.25">
      <c r="A50" s="63" t="s">
        <v>266</v>
      </c>
      <c r="B50" s="64">
        <v>0.25</v>
      </c>
    </row>
    <row r="51" spans="1:2" x14ac:dyDescent="0.25">
      <c r="A51" s="63" t="s">
        <v>195</v>
      </c>
      <c r="B51" s="64">
        <v>0</v>
      </c>
    </row>
    <row r="52" spans="1:2" x14ac:dyDescent="0.25">
      <c r="A52" s="63" t="s">
        <v>354</v>
      </c>
      <c r="B52" s="64">
        <v>0</v>
      </c>
    </row>
    <row r="53" spans="1:2" x14ac:dyDescent="0.25">
      <c r="A53" s="63" t="s">
        <v>316</v>
      </c>
      <c r="B53" s="64">
        <v>0</v>
      </c>
    </row>
    <row r="54" spans="1:2" x14ac:dyDescent="0.25">
      <c r="A54" s="63" t="s">
        <v>403</v>
      </c>
      <c r="B54" s="64">
        <v>0</v>
      </c>
    </row>
    <row r="55" spans="1:2" x14ac:dyDescent="0.25">
      <c r="A55" s="63" t="s">
        <v>196</v>
      </c>
      <c r="B55" s="64">
        <v>0.25</v>
      </c>
    </row>
    <row r="56" spans="1:2" x14ac:dyDescent="0.25">
      <c r="A56" s="63" t="s">
        <v>197</v>
      </c>
      <c r="B56" s="64">
        <v>0.25</v>
      </c>
    </row>
    <row r="57" spans="1:2" x14ac:dyDescent="0.25">
      <c r="A57" s="63" t="s">
        <v>422</v>
      </c>
      <c r="B57" s="64">
        <v>0</v>
      </c>
    </row>
    <row r="58" spans="1:2" x14ac:dyDescent="0.25">
      <c r="A58" s="63" t="s">
        <v>317</v>
      </c>
      <c r="B58" s="64">
        <v>0</v>
      </c>
    </row>
    <row r="59" spans="1:2" x14ac:dyDescent="0.25">
      <c r="A59" s="63" t="s">
        <v>198</v>
      </c>
      <c r="B59" s="64">
        <v>0</v>
      </c>
    </row>
    <row r="60" spans="1:2" x14ac:dyDescent="0.25">
      <c r="A60" s="63" t="s">
        <v>410</v>
      </c>
      <c r="B60" s="64">
        <v>0</v>
      </c>
    </row>
    <row r="61" spans="1:2" x14ac:dyDescent="0.25">
      <c r="A61" s="63" t="s">
        <v>267</v>
      </c>
      <c r="B61" s="64">
        <v>0</v>
      </c>
    </row>
    <row r="62" spans="1:2" x14ac:dyDescent="0.25">
      <c r="A62" s="63" t="s">
        <v>268</v>
      </c>
      <c r="B62" s="64">
        <v>0</v>
      </c>
    </row>
    <row r="63" spans="1:2" x14ac:dyDescent="0.25">
      <c r="A63" s="63" t="s">
        <v>318</v>
      </c>
      <c r="B63" s="64">
        <v>0</v>
      </c>
    </row>
    <row r="64" spans="1:2" x14ac:dyDescent="0.25">
      <c r="A64" s="63" t="s">
        <v>269</v>
      </c>
      <c r="B64" s="64">
        <v>0</v>
      </c>
    </row>
    <row r="65" spans="1:2" x14ac:dyDescent="0.25">
      <c r="A65" s="63" t="s">
        <v>199</v>
      </c>
      <c r="B65" s="64">
        <v>0</v>
      </c>
    </row>
    <row r="66" spans="1:2" x14ac:dyDescent="0.25">
      <c r="A66" s="63" t="s">
        <v>200</v>
      </c>
      <c r="B66" s="64">
        <v>0</v>
      </c>
    </row>
    <row r="67" spans="1:2" x14ac:dyDescent="0.25">
      <c r="A67" s="63" t="s">
        <v>397</v>
      </c>
      <c r="B67" s="64">
        <v>0</v>
      </c>
    </row>
    <row r="68" spans="1:2" x14ac:dyDescent="0.25">
      <c r="A68" s="63" t="s">
        <v>319</v>
      </c>
      <c r="B68" s="64">
        <v>0</v>
      </c>
    </row>
    <row r="69" spans="1:2" x14ac:dyDescent="0.25">
      <c r="A69" s="63" t="s">
        <v>291</v>
      </c>
      <c r="B69" s="64">
        <v>0</v>
      </c>
    </row>
    <row r="70" spans="1:2" x14ac:dyDescent="0.25">
      <c r="A70" s="63" t="s">
        <v>355</v>
      </c>
      <c r="B70" s="64">
        <v>0</v>
      </c>
    </row>
    <row r="71" spans="1:2" x14ac:dyDescent="0.25">
      <c r="A71" s="63" t="s">
        <v>356</v>
      </c>
      <c r="B71" s="64">
        <v>0</v>
      </c>
    </row>
    <row r="72" spans="1:2" x14ac:dyDescent="0.25">
      <c r="A72" s="63" t="s">
        <v>385</v>
      </c>
      <c r="B72" s="64">
        <v>0</v>
      </c>
    </row>
    <row r="73" spans="1:2" x14ac:dyDescent="0.25">
      <c r="A73" s="63" t="s">
        <v>201</v>
      </c>
      <c r="B73" s="64">
        <v>0</v>
      </c>
    </row>
    <row r="74" spans="1:2" x14ac:dyDescent="0.25">
      <c r="A74" s="63" t="s">
        <v>320</v>
      </c>
      <c r="B74" s="64">
        <v>0</v>
      </c>
    </row>
    <row r="75" spans="1:2" x14ac:dyDescent="0.25">
      <c r="A75" s="63" t="s">
        <v>357</v>
      </c>
      <c r="B75" s="64">
        <v>0</v>
      </c>
    </row>
    <row r="76" spans="1:2" x14ac:dyDescent="0.25">
      <c r="A76" s="63" t="s">
        <v>202</v>
      </c>
      <c r="B76" s="64">
        <v>0</v>
      </c>
    </row>
    <row r="77" spans="1:2" x14ac:dyDescent="0.25">
      <c r="A77" s="63" t="s">
        <v>321</v>
      </c>
      <c r="B77" s="64">
        <v>0</v>
      </c>
    </row>
    <row r="78" spans="1:2" x14ac:dyDescent="0.25">
      <c r="A78" s="63" t="s">
        <v>203</v>
      </c>
      <c r="B78" s="64">
        <v>0</v>
      </c>
    </row>
    <row r="79" spans="1:2" x14ac:dyDescent="0.25">
      <c r="A79" s="63" t="s">
        <v>358</v>
      </c>
      <c r="B79" s="64">
        <v>0</v>
      </c>
    </row>
    <row r="80" spans="1:2" x14ac:dyDescent="0.25">
      <c r="A80" s="63" t="s">
        <v>204</v>
      </c>
      <c r="B80" s="64">
        <v>0</v>
      </c>
    </row>
    <row r="81" spans="1:2" x14ac:dyDescent="0.25">
      <c r="A81" s="63" t="s">
        <v>205</v>
      </c>
      <c r="B81" s="64">
        <v>0</v>
      </c>
    </row>
    <row r="82" spans="1:2" x14ac:dyDescent="0.25">
      <c r="A82" s="63" t="s">
        <v>322</v>
      </c>
      <c r="B82" s="64">
        <v>0</v>
      </c>
    </row>
    <row r="83" spans="1:2" x14ac:dyDescent="0.25">
      <c r="A83" s="63" t="s">
        <v>206</v>
      </c>
      <c r="B83" s="64">
        <v>0</v>
      </c>
    </row>
    <row r="84" spans="1:2" x14ac:dyDescent="0.25">
      <c r="A84" s="63" t="s">
        <v>323</v>
      </c>
      <c r="B84" s="64">
        <v>0</v>
      </c>
    </row>
    <row r="85" spans="1:2" x14ac:dyDescent="0.25">
      <c r="A85" s="63" t="s">
        <v>400</v>
      </c>
      <c r="B85" s="64">
        <v>0.25</v>
      </c>
    </row>
    <row r="86" spans="1:2" x14ac:dyDescent="0.25">
      <c r="A86" s="63" t="s">
        <v>394</v>
      </c>
      <c r="B86" s="64">
        <v>0</v>
      </c>
    </row>
    <row r="87" spans="1:2" x14ac:dyDescent="0.25">
      <c r="A87" s="63" t="s">
        <v>359</v>
      </c>
      <c r="B87" s="64">
        <v>0</v>
      </c>
    </row>
    <row r="88" spans="1:2" x14ac:dyDescent="0.25">
      <c r="A88" s="63" t="s">
        <v>270</v>
      </c>
      <c r="B88" s="64">
        <v>0</v>
      </c>
    </row>
    <row r="89" spans="1:2" x14ac:dyDescent="0.25">
      <c r="A89" s="63" t="s">
        <v>207</v>
      </c>
      <c r="B89" s="64">
        <v>0</v>
      </c>
    </row>
    <row r="90" spans="1:2" x14ac:dyDescent="0.25">
      <c r="A90" s="63" t="s">
        <v>360</v>
      </c>
      <c r="B90" s="64">
        <v>0</v>
      </c>
    </row>
    <row r="91" spans="1:2" x14ac:dyDescent="0.25">
      <c r="A91" s="63" t="s">
        <v>324</v>
      </c>
      <c r="B91" s="64">
        <v>0</v>
      </c>
    </row>
    <row r="92" spans="1:2" x14ac:dyDescent="0.25">
      <c r="A92" s="63" t="s">
        <v>404</v>
      </c>
      <c r="B92" s="64">
        <v>0</v>
      </c>
    </row>
    <row r="93" spans="1:2" x14ac:dyDescent="0.25">
      <c r="A93" s="63" t="s">
        <v>208</v>
      </c>
      <c r="B93" s="64">
        <v>0</v>
      </c>
    </row>
    <row r="94" spans="1:2" x14ac:dyDescent="0.25">
      <c r="A94" s="63" t="s">
        <v>209</v>
      </c>
      <c r="B94" s="64">
        <v>0</v>
      </c>
    </row>
    <row r="95" spans="1:2" x14ac:dyDescent="0.25">
      <c r="A95" s="63" t="s">
        <v>210</v>
      </c>
      <c r="B95" s="64">
        <v>0</v>
      </c>
    </row>
    <row r="96" spans="1:2" x14ac:dyDescent="0.25">
      <c r="A96" s="63" t="s">
        <v>211</v>
      </c>
      <c r="B96" s="64">
        <v>0</v>
      </c>
    </row>
    <row r="97" spans="1:2" x14ac:dyDescent="0.25">
      <c r="A97" s="63" t="s">
        <v>361</v>
      </c>
      <c r="B97" s="64">
        <v>0</v>
      </c>
    </row>
    <row r="98" spans="1:2" x14ac:dyDescent="0.25">
      <c r="A98" s="63" t="s">
        <v>292</v>
      </c>
      <c r="B98" s="64">
        <v>0</v>
      </c>
    </row>
    <row r="99" spans="1:2" x14ac:dyDescent="0.25">
      <c r="A99" s="63" t="s">
        <v>407</v>
      </c>
      <c r="B99" s="64">
        <v>0</v>
      </c>
    </row>
    <row r="100" spans="1:2" x14ac:dyDescent="0.25">
      <c r="A100" s="63" t="s">
        <v>362</v>
      </c>
      <c r="B100" s="64">
        <v>0</v>
      </c>
    </row>
    <row r="101" spans="1:2" x14ac:dyDescent="0.25">
      <c r="A101" s="63" t="s">
        <v>363</v>
      </c>
      <c r="B101" s="64">
        <v>0</v>
      </c>
    </row>
    <row r="102" spans="1:2" x14ac:dyDescent="0.25">
      <c r="A102" s="63" t="s">
        <v>212</v>
      </c>
      <c r="B102" s="64">
        <v>0.3</v>
      </c>
    </row>
    <row r="103" spans="1:2" x14ac:dyDescent="0.25">
      <c r="A103" s="63" t="s">
        <v>213</v>
      </c>
      <c r="B103" s="64">
        <v>0</v>
      </c>
    </row>
    <row r="104" spans="1:2" x14ac:dyDescent="0.25">
      <c r="A104" s="63" t="s">
        <v>325</v>
      </c>
      <c r="B104" s="64">
        <v>0</v>
      </c>
    </row>
    <row r="105" spans="1:2" x14ac:dyDescent="0.25">
      <c r="A105" s="63" t="s">
        <v>271</v>
      </c>
      <c r="B105" s="64">
        <v>0.25</v>
      </c>
    </row>
    <row r="106" spans="1:2" x14ac:dyDescent="0.25">
      <c r="A106" s="63" t="s">
        <v>214</v>
      </c>
      <c r="B106" s="64">
        <v>0.25</v>
      </c>
    </row>
    <row r="107" spans="1:2" x14ac:dyDescent="0.25">
      <c r="A107" s="63" t="s">
        <v>326</v>
      </c>
      <c r="B107" s="64">
        <v>0</v>
      </c>
    </row>
    <row r="108" spans="1:2" x14ac:dyDescent="0.25">
      <c r="A108" s="63" t="s">
        <v>215</v>
      </c>
      <c r="B108" s="64">
        <v>0</v>
      </c>
    </row>
    <row r="109" spans="1:2" x14ac:dyDescent="0.25">
      <c r="A109" s="63" t="s">
        <v>293</v>
      </c>
      <c r="B109" s="64">
        <v>0</v>
      </c>
    </row>
    <row r="110" spans="1:2" x14ac:dyDescent="0.25">
      <c r="A110" s="63" t="s">
        <v>327</v>
      </c>
      <c r="B110" s="64">
        <v>0</v>
      </c>
    </row>
    <row r="111" spans="1:2" x14ac:dyDescent="0.25">
      <c r="A111" s="63" t="s">
        <v>364</v>
      </c>
      <c r="B111" s="64">
        <v>0</v>
      </c>
    </row>
    <row r="112" spans="1:2" x14ac:dyDescent="0.25">
      <c r="A112" s="63" t="s">
        <v>216</v>
      </c>
      <c r="B112" s="64">
        <v>0</v>
      </c>
    </row>
    <row r="113" spans="1:2" x14ac:dyDescent="0.25">
      <c r="A113" s="63" t="s">
        <v>294</v>
      </c>
      <c r="B113" s="64">
        <v>0</v>
      </c>
    </row>
    <row r="114" spans="1:2" x14ac:dyDescent="0.25">
      <c r="A114" s="63" t="s">
        <v>421</v>
      </c>
      <c r="B114" s="64">
        <v>0</v>
      </c>
    </row>
    <row r="115" spans="1:2" x14ac:dyDescent="0.25">
      <c r="A115" s="63" t="s">
        <v>272</v>
      </c>
      <c r="B115" s="64">
        <v>0</v>
      </c>
    </row>
    <row r="116" spans="1:2" x14ac:dyDescent="0.25">
      <c r="A116" s="63" t="s">
        <v>328</v>
      </c>
      <c r="B116" s="64">
        <v>0.25</v>
      </c>
    </row>
    <row r="117" spans="1:2" x14ac:dyDescent="0.25">
      <c r="A117" s="63" t="s">
        <v>217</v>
      </c>
      <c r="B117" s="64">
        <v>0.25</v>
      </c>
    </row>
    <row r="118" spans="1:2" x14ac:dyDescent="0.25">
      <c r="A118" s="63" t="s">
        <v>365</v>
      </c>
      <c r="B118" s="64">
        <v>0</v>
      </c>
    </row>
    <row r="119" spans="1:2" x14ac:dyDescent="0.25">
      <c r="A119" s="63" t="s">
        <v>218</v>
      </c>
      <c r="B119" s="64">
        <v>0</v>
      </c>
    </row>
    <row r="120" spans="1:2" x14ac:dyDescent="0.25">
      <c r="A120" s="63" t="s">
        <v>219</v>
      </c>
      <c r="B120" s="64">
        <v>0</v>
      </c>
    </row>
    <row r="121" spans="1:2" x14ac:dyDescent="0.25">
      <c r="A121" s="63" t="s">
        <v>393</v>
      </c>
      <c r="B121" s="64">
        <v>0</v>
      </c>
    </row>
    <row r="122" spans="1:2" x14ac:dyDescent="0.25">
      <c r="A122" s="63" t="s">
        <v>220</v>
      </c>
      <c r="B122" s="64">
        <v>0</v>
      </c>
    </row>
    <row r="123" spans="1:2" x14ac:dyDescent="0.25">
      <c r="A123" s="63" t="s">
        <v>221</v>
      </c>
      <c r="B123" s="64">
        <v>0</v>
      </c>
    </row>
    <row r="124" spans="1:2" x14ac:dyDescent="0.25">
      <c r="A124" s="63" t="s">
        <v>401</v>
      </c>
      <c r="B124" s="64">
        <v>0</v>
      </c>
    </row>
    <row r="125" spans="1:2" x14ac:dyDescent="0.25">
      <c r="A125" s="63" t="s">
        <v>329</v>
      </c>
      <c r="B125" s="64">
        <v>0</v>
      </c>
    </row>
    <row r="126" spans="1:2" x14ac:dyDescent="0.25">
      <c r="A126" s="63" t="s">
        <v>420</v>
      </c>
      <c r="B126" s="64">
        <v>0</v>
      </c>
    </row>
    <row r="127" spans="1:2" x14ac:dyDescent="0.25">
      <c r="A127" s="63" t="s">
        <v>330</v>
      </c>
      <c r="B127" s="64">
        <v>0</v>
      </c>
    </row>
    <row r="128" spans="1:2" x14ac:dyDescent="0.25">
      <c r="A128" s="63" t="s">
        <v>331</v>
      </c>
      <c r="B128" s="64">
        <v>0</v>
      </c>
    </row>
    <row r="129" spans="1:2" x14ac:dyDescent="0.25">
      <c r="A129" s="63" t="s">
        <v>222</v>
      </c>
      <c r="B129" s="64">
        <v>0</v>
      </c>
    </row>
    <row r="130" spans="1:2" x14ac:dyDescent="0.25">
      <c r="A130" s="63" t="s">
        <v>223</v>
      </c>
      <c r="B130" s="64">
        <v>0</v>
      </c>
    </row>
    <row r="131" spans="1:2" x14ac:dyDescent="0.25">
      <c r="A131" s="63" t="s">
        <v>332</v>
      </c>
      <c r="B131" s="64">
        <v>0</v>
      </c>
    </row>
    <row r="132" spans="1:2" x14ac:dyDescent="0.25">
      <c r="A132" s="63" t="s">
        <v>224</v>
      </c>
      <c r="B132" s="64">
        <v>0</v>
      </c>
    </row>
    <row r="133" spans="1:2" x14ac:dyDescent="0.25">
      <c r="A133" s="63" t="s">
        <v>225</v>
      </c>
      <c r="B133" s="64">
        <v>0</v>
      </c>
    </row>
    <row r="134" spans="1:2" x14ac:dyDescent="0.25">
      <c r="A134" s="63" t="s">
        <v>411</v>
      </c>
      <c r="B134" s="64">
        <v>0</v>
      </c>
    </row>
    <row r="135" spans="1:2" x14ac:dyDescent="0.25">
      <c r="A135" s="63" t="s">
        <v>398</v>
      </c>
      <c r="B135" s="64">
        <v>0</v>
      </c>
    </row>
    <row r="136" spans="1:2" x14ac:dyDescent="0.25">
      <c r="A136" s="63" t="s">
        <v>412</v>
      </c>
      <c r="B136" s="64">
        <v>0</v>
      </c>
    </row>
    <row r="137" spans="1:2" x14ac:dyDescent="0.25">
      <c r="A137" s="63" t="s">
        <v>425</v>
      </c>
      <c r="B137" s="64">
        <v>0</v>
      </c>
    </row>
    <row r="138" spans="1:2" x14ac:dyDescent="0.25">
      <c r="A138" s="63" t="s">
        <v>386</v>
      </c>
      <c r="B138" s="64">
        <v>0</v>
      </c>
    </row>
    <row r="139" spans="1:2" x14ac:dyDescent="0.25">
      <c r="A139" s="63" t="s">
        <v>295</v>
      </c>
      <c r="B139" s="64">
        <v>0</v>
      </c>
    </row>
    <row r="140" spans="1:2" x14ac:dyDescent="0.25">
      <c r="A140" s="63" t="s">
        <v>273</v>
      </c>
      <c r="B140" s="64">
        <v>0</v>
      </c>
    </row>
    <row r="141" spans="1:2" x14ac:dyDescent="0.25">
      <c r="A141" s="63" t="s">
        <v>387</v>
      </c>
      <c r="B141" s="64">
        <v>0</v>
      </c>
    </row>
    <row r="142" spans="1:2" x14ac:dyDescent="0.25">
      <c r="A142" s="63" t="s">
        <v>226</v>
      </c>
      <c r="B142" s="64">
        <v>0.25</v>
      </c>
    </row>
    <row r="143" spans="1:2" x14ac:dyDescent="0.25">
      <c r="A143" s="63" t="s">
        <v>227</v>
      </c>
      <c r="B143" s="64">
        <v>0</v>
      </c>
    </row>
    <row r="144" spans="1:2" x14ac:dyDescent="0.25">
      <c r="A144" s="63" t="s">
        <v>228</v>
      </c>
      <c r="B144" s="64">
        <v>0</v>
      </c>
    </row>
    <row r="145" spans="1:2" x14ac:dyDescent="0.25">
      <c r="A145" s="63" t="s">
        <v>413</v>
      </c>
      <c r="B145" s="64">
        <v>0</v>
      </c>
    </row>
    <row r="146" spans="1:2" x14ac:dyDescent="0.25">
      <c r="A146" s="63" t="s">
        <v>296</v>
      </c>
      <c r="B146" s="64">
        <v>0</v>
      </c>
    </row>
    <row r="147" spans="1:2" x14ac:dyDescent="0.25">
      <c r="A147" s="63" t="s">
        <v>366</v>
      </c>
      <c r="B147" s="64">
        <v>0</v>
      </c>
    </row>
    <row r="148" spans="1:2" x14ac:dyDescent="0.25">
      <c r="A148" s="63" t="s">
        <v>333</v>
      </c>
      <c r="B148" s="64">
        <v>0</v>
      </c>
    </row>
    <row r="149" spans="1:2" x14ac:dyDescent="0.25">
      <c r="A149" s="63" t="s">
        <v>229</v>
      </c>
      <c r="B149" s="64">
        <v>0</v>
      </c>
    </row>
    <row r="150" spans="1:2" x14ac:dyDescent="0.25">
      <c r="A150" s="63" t="s">
        <v>414</v>
      </c>
      <c r="B150" s="64">
        <v>0</v>
      </c>
    </row>
    <row r="151" spans="1:2" x14ac:dyDescent="0.25">
      <c r="A151" s="63" t="s">
        <v>297</v>
      </c>
      <c r="B151" s="64">
        <v>0</v>
      </c>
    </row>
    <row r="152" spans="1:2" x14ac:dyDescent="0.25">
      <c r="A152" s="63" t="s">
        <v>334</v>
      </c>
      <c r="B152" s="64">
        <v>0</v>
      </c>
    </row>
    <row r="153" spans="1:2" x14ac:dyDescent="0.25">
      <c r="A153" s="63" t="s">
        <v>335</v>
      </c>
      <c r="B153" s="64">
        <v>0</v>
      </c>
    </row>
    <row r="154" spans="1:2" x14ac:dyDescent="0.25">
      <c r="A154" s="63" t="s">
        <v>336</v>
      </c>
      <c r="B154" s="64">
        <v>0</v>
      </c>
    </row>
    <row r="155" spans="1:2" x14ac:dyDescent="0.25">
      <c r="A155" s="63" t="s">
        <v>337</v>
      </c>
      <c r="B155" s="64">
        <v>0</v>
      </c>
    </row>
    <row r="156" spans="1:2" x14ac:dyDescent="0.25">
      <c r="A156" s="63" t="s">
        <v>430</v>
      </c>
      <c r="B156" s="64">
        <v>0</v>
      </c>
    </row>
    <row r="157" spans="1:2" x14ac:dyDescent="0.25">
      <c r="A157" s="63" t="s">
        <v>230</v>
      </c>
      <c r="B157" s="64">
        <v>0</v>
      </c>
    </row>
    <row r="158" spans="1:2" x14ac:dyDescent="0.25">
      <c r="A158" s="63" t="s">
        <v>274</v>
      </c>
      <c r="B158" s="64">
        <v>0</v>
      </c>
    </row>
    <row r="159" spans="1:2" x14ac:dyDescent="0.25">
      <c r="A159" s="63" t="s">
        <v>399</v>
      </c>
      <c r="B159" s="64">
        <v>0</v>
      </c>
    </row>
    <row r="160" spans="1:2" x14ac:dyDescent="0.25">
      <c r="A160" s="63" t="s">
        <v>231</v>
      </c>
      <c r="B160" s="64">
        <v>0</v>
      </c>
    </row>
    <row r="161" spans="1:2" x14ac:dyDescent="0.25">
      <c r="A161" s="63" t="s">
        <v>298</v>
      </c>
      <c r="B161" s="64">
        <v>0</v>
      </c>
    </row>
    <row r="162" spans="1:2" x14ac:dyDescent="0.25">
      <c r="A162" s="63" t="s">
        <v>388</v>
      </c>
      <c r="B162" s="64">
        <v>0</v>
      </c>
    </row>
    <row r="163" spans="1:2" x14ac:dyDescent="0.25">
      <c r="A163" s="63" t="s">
        <v>275</v>
      </c>
      <c r="B163" s="64">
        <v>0</v>
      </c>
    </row>
    <row r="164" spans="1:2" x14ac:dyDescent="0.25">
      <c r="A164" s="63" t="s">
        <v>338</v>
      </c>
      <c r="B164" s="64">
        <v>0</v>
      </c>
    </row>
    <row r="165" spans="1:2" x14ac:dyDescent="0.25">
      <c r="A165" s="63" t="s">
        <v>232</v>
      </c>
      <c r="B165" s="64">
        <v>0</v>
      </c>
    </row>
    <row r="166" spans="1:2" x14ac:dyDescent="0.25">
      <c r="A166" s="63" t="s">
        <v>233</v>
      </c>
      <c r="B166" s="64">
        <v>0</v>
      </c>
    </row>
    <row r="167" spans="1:2" x14ac:dyDescent="0.25">
      <c r="A167" s="63" t="s">
        <v>389</v>
      </c>
      <c r="B167" s="64">
        <v>0</v>
      </c>
    </row>
    <row r="168" spans="1:2" x14ac:dyDescent="0.25">
      <c r="A168" s="63" t="s">
        <v>390</v>
      </c>
      <c r="B168" s="64">
        <v>0</v>
      </c>
    </row>
    <row r="169" spans="1:2" x14ac:dyDescent="0.25">
      <c r="A169" s="63" t="s">
        <v>234</v>
      </c>
      <c r="B169" s="64">
        <v>0</v>
      </c>
    </row>
    <row r="170" spans="1:2" x14ac:dyDescent="0.25">
      <c r="A170" s="63" t="s">
        <v>339</v>
      </c>
      <c r="B170" s="64">
        <v>0</v>
      </c>
    </row>
    <row r="171" spans="1:2" x14ac:dyDescent="0.25">
      <c r="A171" s="63" t="s">
        <v>423</v>
      </c>
      <c r="B171" s="64">
        <v>0</v>
      </c>
    </row>
    <row r="172" spans="1:2" x14ac:dyDescent="0.25">
      <c r="A172" s="63" t="s">
        <v>235</v>
      </c>
      <c r="B172" s="64">
        <v>0</v>
      </c>
    </row>
    <row r="173" spans="1:2" x14ac:dyDescent="0.25">
      <c r="A173" s="63" t="s">
        <v>395</v>
      </c>
      <c r="B173" s="64">
        <v>0</v>
      </c>
    </row>
    <row r="174" spans="1:2" x14ac:dyDescent="0.25">
      <c r="A174" s="63" t="s">
        <v>299</v>
      </c>
      <c r="B174" s="64">
        <v>0</v>
      </c>
    </row>
    <row r="175" spans="1:2" x14ac:dyDescent="0.25">
      <c r="A175" s="63" t="s">
        <v>236</v>
      </c>
      <c r="B175" s="64">
        <v>0</v>
      </c>
    </row>
    <row r="176" spans="1:2" x14ac:dyDescent="0.25">
      <c r="A176" s="63" t="s">
        <v>300</v>
      </c>
      <c r="B176" s="64">
        <v>0</v>
      </c>
    </row>
    <row r="177" spans="1:2" x14ac:dyDescent="0.25">
      <c r="A177" s="63" t="s">
        <v>391</v>
      </c>
      <c r="B177" s="64">
        <v>0</v>
      </c>
    </row>
    <row r="178" spans="1:2" x14ac:dyDescent="0.25">
      <c r="A178" s="63" t="s">
        <v>301</v>
      </c>
      <c r="B178" s="64">
        <v>0</v>
      </c>
    </row>
    <row r="179" spans="1:2" x14ac:dyDescent="0.25">
      <c r="A179" s="63" t="s">
        <v>367</v>
      </c>
      <c r="B179" s="64">
        <v>0</v>
      </c>
    </row>
    <row r="180" spans="1:2" x14ac:dyDescent="0.25">
      <c r="A180" s="63" t="s">
        <v>237</v>
      </c>
      <c r="B180" s="64">
        <v>0</v>
      </c>
    </row>
    <row r="181" spans="1:2" x14ac:dyDescent="0.25">
      <c r="A181" s="63" t="s">
        <v>368</v>
      </c>
      <c r="B181" s="64">
        <v>0</v>
      </c>
    </row>
    <row r="182" spans="1:2" x14ac:dyDescent="0.25">
      <c r="A182" s="63" t="s">
        <v>340</v>
      </c>
      <c r="B182" s="64">
        <v>0</v>
      </c>
    </row>
    <row r="183" spans="1:2" x14ac:dyDescent="0.25">
      <c r="A183" s="63" t="s">
        <v>238</v>
      </c>
      <c r="B183" s="64">
        <v>0</v>
      </c>
    </row>
    <row r="184" spans="1:2" x14ac:dyDescent="0.25">
      <c r="A184" s="63" t="s">
        <v>405</v>
      </c>
      <c r="B184" s="64">
        <v>0</v>
      </c>
    </row>
    <row r="185" spans="1:2" x14ac:dyDescent="0.25">
      <c r="A185" s="63" t="s">
        <v>239</v>
      </c>
      <c r="B185" s="64">
        <v>0</v>
      </c>
    </row>
    <row r="186" spans="1:2" x14ac:dyDescent="0.25">
      <c r="A186" s="63" t="s">
        <v>369</v>
      </c>
      <c r="B186" s="64">
        <v>0</v>
      </c>
    </row>
    <row r="187" spans="1:2" x14ac:dyDescent="0.25">
      <c r="A187" s="63" t="s">
        <v>240</v>
      </c>
      <c r="B187" s="64">
        <v>0</v>
      </c>
    </row>
    <row r="188" spans="1:2" x14ac:dyDescent="0.25">
      <c r="A188" s="63" t="s">
        <v>415</v>
      </c>
      <c r="B188" s="64">
        <v>0</v>
      </c>
    </row>
    <row r="189" spans="1:2" x14ac:dyDescent="0.25">
      <c r="A189" s="63" t="s">
        <v>241</v>
      </c>
      <c r="B189" s="64">
        <v>0</v>
      </c>
    </row>
    <row r="190" spans="1:2" x14ac:dyDescent="0.25">
      <c r="A190" s="63" t="s">
        <v>370</v>
      </c>
      <c r="B190" s="64">
        <v>0</v>
      </c>
    </row>
    <row r="191" spans="1:2" x14ac:dyDescent="0.25">
      <c r="A191" s="63" t="s">
        <v>302</v>
      </c>
      <c r="B191" s="64">
        <v>0</v>
      </c>
    </row>
    <row r="192" spans="1:2" x14ac:dyDescent="0.25">
      <c r="A192" s="63" t="s">
        <v>242</v>
      </c>
      <c r="B192" s="64">
        <v>0</v>
      </c>
    </row>
    <row r="193" spans="1:2" x14ac:dyDescent="0.25">
      <c r="A193" s="63" t="s">
        <v>243</v>
      </c>
      <c r="B193" s="64">
        <v>0.25</v>
      </c>
    </row>
    <row r="194" spans="1:2" x14ac:dyDescent="0.25">
      <c r="A194" s="63" t="s">
        <v>341</v>
      </c>
      <c r="B194" s="64">
        <v>0</v>
      </c>
    </row>
    <row r="195" spans="1:2" x14ac:dyDescent="0.25">
      <c r="A195" s="63" t="s">
        <v>371</v>
      </c>
      <c r="B195" s="64">
        <v>0</v>
      </c>
    </row>
    <row r="196" spans="1:2" x14ac:dyDescent="0.25">
      <c r="A196" s="63" t="s">
        <v>276</v>
      </c>
      <c r="B196" s="64">
        <v>0.25</v>
      </c>
    </row>
    <row r="197" spans="1:2" x14ac:dyDescent="0.25">
      <c r="A197" s="63" t="s">
        <v>244</v>
      </c>
      <c r="B197" s="64">
        <v>0</v>
      </c>
    </row>
    <row r="198" spans="1:2" x14ac:dyDescent="0.25">
      <c r="A198" s="63" t="s">
        <v>303</v>
      </c>
      <c r="B198" s="64">
        <v>0</v>
      </c>
    </row>
    <row r="199" spans="1:2" x14ac:dyDescent="0.25">
      <c r="A199" s="63" t="s">
        <v>372</v>
      </c>
      <c r="B199" s="64">
        <v>0</v>
      </c>
    </row>
    <row r="200" spans="1:2" x14ac:dyDescent="0.25">
      <c r="A200" s="63" t="s">
        <v>342</v>
      </c>
      <c r="B200" s="64">
        <v>0.25</v>
      </c>
    </row>
    <row r="201" spans="1:2" x14ac:dyDescent="0.25">
      <c r="A201" s="63" t="s">
        <v>245</v>
      </c>
      <c r="B201" s="64">
        <v>0</v>
      </c>
    </row>
    <row r="202" spans="1:2" x14ac:dyDescent="0.25">
      <c r="A202" s="63" t="s">
        <v>277</v>
      </c>
      <c r="B202" s="64">
        <v>0</v>
      </c>
    </row>
    <row r="203" spans="1:2" x14ac:dyDescent="0.25">
      <c r="A203" s="63" t="s">
        <v>278</v>
      </c>
      <c r="B203" s="64">
        <v>0</v>
      </c>
    </row>
    <row r="204" spans="1:2" x14ac:dyDescent="0.25">
      <c r="A204" s="63" t="s">
        <v>424</v>
      </c>
      <c r="B204" s="64">
        <v>0</v>
      </c>
    </row>
    <row r="205" spans="1:2" x14ac:dyDescent="0.25">
      <c r="A205" s="63" t="s">
        <v>279</v>
      </c>
      <c r="B205" s="64">
        <v>0</v>
      </c>
    </row>
    <row r="206" spans="1:2" x14ac:dyDescent="0.25">
      <c r="A206" s="63" t="s">
        <v>246</v>
      </c>
      <c r="B206" s="64">
        <v>0</v>
      </c>
    </row>
    <row r="207" spans="1:2" x14ac:dyDescent="0.25">
      <c r="A207" s="63" t="s">
        <v>247</v>
      </c>
      <c r="B207" s="64">
        <v>0</v>
      </c>
    </row>
    <row r="208" spans="1:2" x14ac:dyDescent="0.25">
      <c r="A208" s="63" t="s">
        <v>373</v>
      </c>
      <c r="B208" s="64">
        <v>0</v>
      </c>
    </row>
    <row r="209" spans="1:2" x14ac:dyDescent="0.25">
      <c r="A209" s="63" t="s">
        <v>304</v>
      </c>
      <c r="B209" s="64">
        <v>0</v>
      </c>
    </row>
    <row r="210" spans="1:2" x14ac:dyDescent="0.25">
      <c r="A210" s="63" t="s">
        <v>248</v>
      </c>
      <c r="B210" s="64">
        <v>0</v>
      </c>
    </row>
    <row r="211" spans="1:2" x14ac:dyDescent="0.25">
      <c r="A211" s="63" t="s">
        <v>374</v>
      </c>
      <c r="B211" s="64">
        <v>0</v>
      </c>
    </row>
    <row r="212" spans="1:2" x14ac:dyDescent="0.25">
      <c r="A212" s="63" t="s">
        <v>249</v>
      </c>
      <c r="B212" s="64">
        <v>0</v>
      </c>
    </row>
    <row r="213" spans="1:2" x14ac:dyDescent="0.25">
      <c r="A213" s="63" t="s">
        <v>250</v>
      </c>
      <c r="B213" s="64">
        <v>0</v>
      </c>
    </row>
    <row r="214" spans="1:2" x14ac:dyDescent="0.25">
      <c r="A214" s="63" t="s">
        <v>251</v>
      </c>
      <c r="B214" s="64">
        <v>0</v>
      </c>
    </row>
    <row r="215" spans="1:2" x14ac:dyDescent="0.25">
      <c r="A215" s="63" t="s">
        <v>252</v>
      </c>
      <c r="B215" s="64">
        <v>0</v>
      </c>
    </row>
    <row r="216" spans="1:2" x14ac:dyDescent="0.25">
      <c r="A216" s="63" t="s">
        <v>280</v>
      </c>
      <c r="B216" s="64">
        <v>0.25</v>
      </c>
    </row>
    <row r="217" spans="1:2" x14ac:dyDescent="0.25">
      <c r="A217" s="63" t="s">
        <v>343</v>
      </c>
      <c r="B217" s="64">
        <v>0</v>
      </c>
    </row>
    <row r="218" spans="1:2" x14ac:dyDescent="0.25">
      <c r="A218" s="63" t="s">
        <v>305</v>
      </c>
      <c r="B218" s="64">
        <v>0</v>
      </c>
    </row>
    <row r="219" spans="1:2" x14ac:dyDescent="0.25">
      <c r="A219" s="63" t="s">
        <v>281</v>
      </c>
      <c r="B219" s="64">
        <v>0</v>
      </c>
    </row>
    <row r="220" spans="1:2" x14ac:dyDescent="0.25">
      <c r="A220" s="63" t="s">
        <v>253</v>
      </c>
      <c r="B220" s="64">
        <v>0</v>
      </c>
    </row>
    <row r="221" spans="1:2" x14ac:dyDescent="0.25">
      <c r="A221" s="63" t="s">
        <v>344</v>
      </c>
      <c r="B221" s="64">
        <v>0</v>
      </c>
    </row>
    <row r="222" spans="1:2" x14ac:dyDescent="0.25">
      <c r="A222" s="63" t="s">
        <v>282</v>
      </c>
      <c r="B222" s="64">
        <v>0</v>
      </c>
    </row>
    <row r="223" spans="1:2" x14ac:dyDescent="0.25">
      <c r="A223" s="63" t="s">
        <v>254</v>
      </c>
      <c r="B223" s="64">
        <v>0</v>
      </c>
    </row>
    <row r="224" spans="1:2" x14ac:dyDescent="0.25">
      <c r="A224" s="63" t="s">
        <v>375</v>
      </c>
      <c r="B224" s="64">
        <v>0</v>
      </c>
    </row>
    <row r="225" spans="1:2" x14ac:dyDescent="0.25">
      <c r="A225" s="63" t="s">
        <v>283</v>
      </c>
      <c r="B225" s="64">
        <v>0</v>
      </c>
    </row>
    <row r="226" spans="1:2" x14ac:dyDescent="0.25">
      <c r="A226" s="63" t="s">
        <v>284</v>
      </c>
      <c r="B226" s="64">
        <v>0</v>
      </c>
    </row>
    <row r="227" spans="1:2" x14ac:dyDescent="0.25">
      <c r="A227" s="63" t="s">
        <v>392</v>
      </c>
      <c r="B227" s="64">
        <v>0</v>
      </c>
    </row>
    <row r="228" spans="1:2" x14ac:dyDescent="0.25">
      <c r="A228" s="63" t="s">
        <v>255</v>
      </c>
      <c r="B228" s="64">
        <v>0</v>
      </c>
    </row>
    <row r="229" spans="1:2" x14ac:dyDescent="0.25">
      <c r="A229" s="63" t="s">
        <v>406</v>
      </c>
      <c r="B229" s="64">
        <v>0</v>
      </c>
    </row>
    <row r="230" spans="1:2" x14ac:dyDescent="0.25">
      <c r="A230" s="63" t="s">
        <v>256</v>
      </c>
      <c r="B230" s="64">
        <v>0</v>
      </c>
    </row>
    <row r="231" spans="1:2" x14ac:dyDescent="0.25">
      <c r="A231" s="63" t="s">
        <v>345</v>
      </c>
      <c r="B231" s="64">
        <v>0</v>
      </c>
    </row>
    <row r="232" spans="1:2" x14ac:dyDescent="0.25">
      <c r="A232" s="63" t="s">
        <v>285</v>
      </c>
      <c r="B232" s="64">
        <v>0</v>
      </c>
    </row>
    <row r="233" spans="1:2" x14ac:dyDescent="0.25">
      <c r="A233" s="63" t="s">
        <v>306</v>
      </c>
      <c r="B233" s="64">
        <v>0.25</v>
      </c>
    </row>
    <row r="234" spans="1:2" x14ac:dyDescent="0.25">
      <c r="A234" s="63" t="s">
        <v>257</v>
      </c>
      <c r="B234" s="64">
        <v>0.25</v>
      </c>
    </row>
    <row r="235" spans="1:2" x14ac:dyDescent="0.25">
      <c r="A235" s="63" t="s">
        <v>376</v>
      </c>
      <c r="B235" s="64">
        <v>0</v>
      </c>
    </row>
    <row r="236" spans="1:2" x14ac:dyDescent="0.25">
      <c r="A236" s="63" t="s">
        <v>258</v>
      </c>
      <c r="B236" s="64">
        <v>0</v>
      </c>
    </row>
    <row r="237" spans="1:2" x14ac:dyDescent="0.25">
      <c r="A237" s="63" t="s">
        <v>377</v>
      </c>
      <c r="B237" s="64">
        <v>0</v>
      </c>
    </row>
    <row r="238" spans="1:2" x14ac:dyDescent="0.25">
      <c r="A238" s="63" t="s">
        <v>259</v>
      </c>
      <c r="B238" s="64">
        <v>0</v>
      </c>
    </row>
    <row r="239" spans="1:2" x14ac:dyDescent="0.25">
      <c r="A239" s="63" t="s">
        <v>378</v>
      </c>
      <c r="B239" s="64">
        <v>0</v>
      </c>
    </row>
    <row r="240" spans="1:2" x14ac:dyDescent="0.25">
      <c r="A240" s="63" t="s">
        <v>346</v>
      </c>
      <c r="B240" s="64">
        <v>0</v>
      </c>
    </row>
    <row r="241" spans="1:2" x14ac:dyDescent="0.25">
      <c r="A241" s="63" t="s">
        <v>379</v>
      </c>
      <c r="B241" s="64">
        <v>0</v>
      </c>
    </row>
    <row r="242" spans="1:2" x14ac:dyDescent="0.25">
      <c r="A242" s="63" t="s">
        <v>260</v>
      </c>
      <c r="B242" s="64">
        <v>0</v>
      </c>
    </row>
    <row r="243" spans="1:2" x14ac:dyDescent="0.25">
      <c r="A243" s="63" t="s">
        <v>416</v>
      </c>
      <c r="B243" s="64">
        <v>0</v>
      </c>
    </row>
    <row r="244" spans="1:2" x14ac:dyDescent="0.25">
      <c r="A244" s="63" t="s">
        <v>380</v>
      </c>
      <c r="B244" s="64">
        <v>0</v>
      </c>
    </row>
    <row r="245" spans="1:2" x14ac:dyDescent="0.25">
      <c r="A245" s="63" t="s">
        <v>381</v>
      </c>
      <c r="B245" s="64">
        <v>0</v>
      </c>
    </row>
    <row r="246" spans="1:2" x14ac:dyDescent="0.25">
      <c r="A246" s="63" t="s">
        <v>286</v>
      </c>
      <c r="B246" s="64">
        <v>0.25</v>
      </c>
    </row>
    <row r="247" spans="1:2" x14ac:dyDescent="0.25">
      <c r="A247" s="63" t="s">
        <v>261</v>
      </c>
      <c r="B247" s="64">
        <v>0.25</v>
      </c>
    </row>
    <row r="248" spans="1:2" x14ac:dyDescent="0.25">
      <c r="A248" s="63" t="s">
        <v>577</v>
      </c>
      <c r="B248" s="64">
        <v>0</v>
      </c>
    </row>
    <row r="249" spans="1:2" x14ac:dyDescent="0.25">
      <c r="A249" s="63" t="s">
        <v>591</v>
      </c>
      <c r="B249" s="64">
        <v>0</v>
      </c>
    </row>
    <row r="250" spans="1:2" x14ac:dyDescent="0.25">
      <c r="A250" s="63" t="s">
        <v>595</v>
      </c>
      <c r="B250" s="64">
        <v>0</v>
      </c>
    </row>
  </sheetData>
  <autoFilter ref="A1:B247" xr:uid="{3366283A-21ED-4118-97D1-BA1C8B4FDD27}"/>
  <sortState xmlns:xlrd2="http://schemas.microsoft.com/office/spreadsheetml/2017/richdata2" ref="A2:B247">
    <sortCondition ref="A2:A247"/>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BC03B-37C7-4C98-BAEF-BB83AA71E1FA}">
  <sheetPr codeName="Sheet10"/>
  <dimension ref="A1:A107"/>
  <sheetViews>
    <sheetView workbookViewId="0">
      <selection activeCell="A23" sqref="A23"/>
    </sheetView>
  </sheetViews>
  <sheetFormatPr defaultRowHeight="15.75" x14ac:dyDescent="0.25"/>
  <cols>
    <col min="1" max="1" width="79.42578125" style="123" customWidth="1"/>
  </cols>
  <sheetData>
    <row r="1" spans="1:1" x14ac:dyDescent="0.25">
      <c r="A1" s="79" t="s">
        <v>147</v>
      </c>
    </row>
    <row r="2" spans="1:1" x14ac:dyDescent="0.25">
      <c r="A2" s="120" t="s">
        <v>117</v>
      </c>
    </row>
    <row r="3" spans="1:1" x14ac:dyDescent="0.25">
      <c r="A3" s="120" t="s">
        <v>114</v>
      </c>
    </row>
    <row r="4" spans="1:1" x14ac:dyDescent="0.25">
      <c r="A4" s="120" t="s">
        <v>115</v>
      </c>
    </row>
    <row r="5" spans="1:1" x14ac:dyDescent="0.25">
      <c r="A5" s="120" t="s">
        <v>116</v>
      </c>
    </row>
    <row r="6" spans="1:1" ht="31.5" x14ac:dyDescent="0.25">
      <c r="A6" s="120" t="s">
        <v>58</v>
      </c>
    </row>
    <row r="7" spans="1:1" x14ac:dyDescent="0.25">
      <c r="A7" s="121" t="s">
        <v>125</v>
      </c>
    </row>
    <row r="8" spans="1:1" ht="31.5" x14ac:dyDescent="0.25">
      <c r="A8" s="120" t="s">
        <v>619</v>
      </c>
    </row>
    <row r="9" spans="1:1" ht="31.5" x14ac:dyDescent="0.25">
      <c r="A9" s="120" t="s">
        <v>120</v>
      </c>
    </row>
    <row r="10" spans="1:1" x14ac:dyDescent="0.25">
      <c r="A10" s="120" t="s">
        <v>118</v>
      </c>
    </row>
    <row r="11" spans="1:1" x14ac:dyDescent="0.25">
      <c r="A11" s="120" t="s">
        <v>26</v>
      </c>
    </row>
    <row r="12" spans="1:1" x14ac:dyDescent="0.25">
      <c r="A12" s="120" t="s">
        <v>620</v>
      </c>
    </row>
    <row r="13" spans="1:1" ht="31.5" x14ac:dyDescent="0.25">
      <c r="A13" s="120" t="s">
        <v>658</v>
      </c>
    </row>
    <row r="14" spans="1:1" x14ac:dyDescent="0.25">
      <c r="A14" s="120" t="s">
        <v>626</v>
      </c>
    </row>
    <row r="15" spans="1:1" x14ac:dyDescent="0.25">
      <c r="A15" s="120" t="s">
        <v>656</v>
      </c>
    </row>
    <row r="16" spans="1:1" x14ac:dyDescent="0.25">
      <c r="A16" s="120" t="s">
        <v>659</v>
      </c>
    </row>
    <row r="17" spans="1:1" x14ac:dyDescent="0.25">
      <c r="A17" s="120" t="s">
        <v>81</v>
      </c>
    </row>
    <row r="18" spans="1:1" x14ac:dyDescent="0.25">
      <c r="A18" s="122" t="s">
        <v>652</v>
      </c>
    </row>
    <row r="19" spans="1:1" x14ac:dyDescent="0.25">
      <c r="A19" s="122" t="s">
        <v>82</v>
      </c>
    </row>
    <row r="20" spans="1:1" x14ac:dyDescent="0.25">
      <c r="A20" s="122" t="s">
        <v>660</v>
      </c>
    </row>
    <row r="21" spans="1:1" x14ac:dyDescent="0.25">
      <c r="A21" s="122"/>
    </row>
    <row r="22" spans="1:1" x14ac:dyDescent="0.25">
      <c r="A22" s="122"/>
    </row>
    <row r="23" spans="1:1" x14ac:dyDescent="0.25">
      <c r="A23" s="122"/>
    </row>
    <row r="24" spans="1:1" x14ac:dyDescent="0.25">
      <c r="A24" s="122"/>
    </row>
    <row r="25" spans="1:1" x14ac:dyDescent="0.25">
      <c r="A25" s="122"/>
    </row>
    <row r="26" spans="1:1" x14ac:dyDescent="0.25">
      <c r="A26" s="122"/>
    </row>
    <row r="27" spans="1:1" x14ac:dyDescent="0.25">
      <c r="A27" s="122"/>
    </row>
    <row r="28" spans="1:1" x14ac:dyDescent="0.25">
      <c r="A28" s="122"/>
    </row>
    <row r="29" spans="1:1" x14ac:dyDescent="0.25">
      <c r="A29" s="122"/>
    </row>
    <row r="30" spans="1:1" x14ac:dyDescent="0.25">
      <c r="A30" s="122"/>
    </row>
    <row r="31" spans="1:1" x14ac:dyDescent="0.25">
      <c r="A31" s="122"/>
    </row>
    <row r="32" spans="1:1" x14ac:dyDescent="0.25">
      <c r="A32" s="122"/>
    </row>
    <row r="33" spans="1:1" x14ac:dyDescent="0.25">
      <c r="A33" s="122"/>
    </row>
    <row r="34" spans="1:1" x14ac:dyDescent="0.25">
      <c r="A34" s="122"/>
    </row>
    <row r="35" spans="1:1" x14ac:dyDescent="0.25">
      <c r="A35" s="122"/>
    </row>
    <row r="36" spans="1:1" x14ac:dyDescent="0.25">
      <c r="A36" s="122"/>
    </row>
    <row r="37" spans="1:1" x14ac:dyDescent="0.25">
      <c r="A37" s="122"/>
    </row>
    <row r="38" spans="1:1" x14ac:dyDescent="0.25">
      <c r="A38" s="122"/>
    </row>
    <row r="39" spans="1:1" x14ac:dyDescent="0.25">
      <c r="A39" s="122"/>
    </row>
    <row r="40" spans="1:1" x14ac:dyDescent="0.25">
      <c r="A40" s="122"/>
    </row>
    <row r="41" spans="1:1" x14ac:dyDescent="0.25">
      <c r="A41" s="122"/>
    </row>
    <row r="42" spans="1:1" x14ac:dyDescent="0.25">
      <c r="A42" s="122"/>
    </row>
    <row r="43" spans="1:1" x14ac:dyDescent="0.25">
      <c r="A43" s="122"/>
    </row>
    <row r="44" spans="1:1" x14ac:dyDescent="0.25">
      <c r="A44" s="122"/>
    </row>
    <row r="45" spans="1:1" x14ac:dyDescent="0.25">
      <c r="A45" s="122"/>
    </row>
    <row r="46" spans="1:1" x14ac:dyDescent="0.25">
      <c r="A46" s="122"/>
    </row>
    <row r="47" spans="1:1" x14ac:dyDescent="0.25">
      <c r="A47" s="122"/>
    </row>
    <row r="48" spans="1:1" x14ac:dyDescent="0.25">
      <c r="A48" s="122"/>
    </row>
    <row r="49" spans="1:1" x14ac:dyDescent="0.25">
      <c r="A49" s="122"/>
    </row>
    <row r="50" spans="1:1" x14ac:dyDescent="0.25">
      <c r="A50" s="122"/>
    </row>
    <row r="51" spans="1:1" x14ac:dyDescent="0.25">
      <c r="A51" s="122"/>
    </row>
    <row r="52" spans="1:1" x14ac:dyDescent="0.25">
      <c r="A52" s="122"/>
    </row>
    <row r="53" spans="1:1" x14ac:dyDescent="0.25">
      <c r="A53" s="122"/>
    </row>
    <row r="54" spans="1:1" x14ac:dyDescent="0.25">
      <c r="A54" s="122"/>
    </row>
    <row r="55" spans="1:1" x14ac:dyDescent="0.25">
      <c r="A55" s="122"/>
    </row>
    <row r="56" spans="1:1" x14ac:dyDescent="0.25">
      <c r="A56" s="122"/>
    </row>
    <row r="57" spans="1:1" x14ac:dyDescent="0.25">
      <c r="A57" s="122"/>
    </row>
    <row r="58" spans="1:1" x14ac:dyDescent="0.25">
      <c r="A58" s="122"/>
    </row>
    <row r="59" spans="1:1" x14ac:dyDescent="0.25">
      <c r="A59" s="122"/>
    </row>
    <row r="60" spans="1:1" x14ac:dyDescent="0.25">
      <c r="A60" s="122"/>
    </row>
    <row r="61" spans="1:1" x14ac:dyDescent="0.25">
      <c r="A61" s="122"/>
    </row>
    <row r="62" spans="1:1" x14ac:dyDescent="0.25">
      <c r="A62" s="122"/>
    </row>
    <row r="63" spans="1:1" x14ac:dyDescent="0.25">
      <c r="A63" s="122"/>
    </row>
    <row r="64" spans="1:1" x14ac:dyDescent="0.25">
      <c r="A64" s="122"/>
    </row>
    <row r="65" spans="1:1" x14ac:dyDescent="0.25">
      <c r="A65" s="122"/>
    </row>
    <row r="66" spans="1:1" x14ac:dyDescent="0.25">
      <c r="A66" s="122"/>
    </row>
    <row r="67" spans="1:1" x14ac:dyDescent="0.25">
      <c r="A67" s="122"/>
    </row>
    <row r="68" spans="1:1" x14ac:dyDescent="0.25">
      <c r="A68" s="122"/>
    </row>
    <row r="69" spans="1:1" x14ac:dyDescent="0.25">
      <c r="A69" s="122"/>
    </row>
    <row r="70" spans="1:1" x14ac:dyDescent="0.25">
      <c r="A70" s="122"/>
    </row>
    <row r="71" spans="1:1" x14ac:dyDescent="0.25">
      <c r="A71" s="122"/>
    </row>
    <row r="72" spans="1:1" x14ac:dyDescent="0.25">
      <c r="A72" s="122"/>
    </row>
    <row r="73" spans="1:1" x14ac:dyDescent="0.25">
      <c r="A73" s="122"/>
    </row>
    <row r="74" spans="1:1" x14ac:dyDescent="0.25">
      <c r="A74" s="122"/>
    </row>
    <row r="75" spans="1:1" x14ac:dyDescent="0.25">
      <c r="A75" s="122"/>
    </row>
    <row r="76" spans="1:1" x14ac:dyDescent="0.25">
      <c r="A76" s="122"/>
    </row>
    <row r="77" spans="1:1" x14ac:dyDescent="0.25">
      <c r="A77" s="122"/>
    </row>
    <row r="78" spans="1:1" x14ac:dyDescent="0.25">
      <c r="A78" s="122"/>
    </row>
    <row r="79" spans="1:1" x14ac:dyDescent="0.25">
      <c r="A79" s="122"/>
    </row>
    <row r="80" spans="1:1" x14ac:dyDescent="0.25">
      <c r="A80" s="122"/>
    </row>
    <row r="81" spans="1:1" x14ac:dyDescent="0.25">
      <c r="A81" s="122"/>
    </row>
    <row r="82" spans="1:1" x14ac:dyDescent="0.25">
      <c r="A82" s="122"/>
    </row>
    <row r="83" spans="1:1" x14ac:dyDescent="0.25">
      <c r="A83" s="122"/>
    </row>
    <row r="84" spans="1:1" x14ac:dyDescent="0.25">
      <c r="A84" s="122"/>
    </row>
    <row r="85" spans="1:1" x14ac:dyDescent="0.25">
      <c r="A85" s="122"/>
    </row>
    <row r="86" spans="1:1" x14ac:dyDescent="0.25">
      <c r="A86" s="122"/>
    </row>
    <row r="87" spans="1:1" x14ac:dyDescent="0.25">
      <c r="A87" s="122"/>
    </row>
    <row r="88" spans="1:1" x14ac:dyDescent="0.25">
      <c r="A88" s="122"/>
    </row>
    <row r="89" spans="1:1" x14ac:dyDescent="0.25">
      <c r="A89" s="122"/>
    </row>
    <row r="90" spans="1:1" x14ac:dyDescent="0.25">
      <c r="A90" s="122"/>
    </row>
    <row r="91" spans="1:1" x14ac:dyDescent="0.25">
      <c r="A91" s="122"/>
    </row>
    <row r="92" spans="1:1" x14ac:dyDescent="0.25">
      <c r="A92" s="122"/>
    </row>
    <row r="93" spans="1:1" x14ac:dyDescent="0.25">
      <c r="A93" s="122"/>
    </row>
    <row r="94" spans="1:1" x14ac:dyDescent="0.25">
      <c r="A94" s="122"/>
    </row>
    <row r="95" spans="1:1" x14ac:dyDescent="0.25">
      <c r="A95" s="122"/>
    </row>
    <row r="96" spans="1:1" x14ac:dyDescent="0.25">
      <c r="A96" s="122"/>
    </row>
    <row r="97" spans="1:1" x14ac:dyDescent="0.25">
      <c r="A97" s="122"/>
    </row>
    <row r="98" spans="1:1" x14ac:dyDescent="0.25">
      <c r="A98" s="122"/>
    </row>
    <row r="99" spans="1:1" x14ac:dyDescent="0.25">
      <c r="A99" s="122"/>
    </row>
    <row r="100" spans="1:1" x14ac:dyDescent="0.25">
      <c r="A100" s="122"/>
    </row>
    <row r="101" spans="1:1" x14ac:dyDescent="0.25">
      <c r="A101" s="122"/>
    </row>
    <row r="102" spans="1:1" x14ac:dyDescent="0.25">
      <c r="A102" s="122"/>
    </row>
    <row r="103" spans="1:1" x14ac:dyDescent="0.25">
      <c r="A103" s="122"/>
    </row>
    <row r="104" spans="1:1" x14ac:dyDescent="0.25">
      <c r="A104" s="122"/>
    </row>
    <row r="105" spans="1:1" x14ac:dyDescent="0.25">
      <c r="A105" s="122"/>
    </row>
    <row r="106" spans="1:1" x14ac:dyDescent="0.25">
      <c r="A106" s="122"/>
    </row>
    <row r="107" spans="1:1" x14ac:dyDescent="0.25">
      <c r="A107" s="122"/>
    </row>
  </sheetData>
  <sortState xmlns:xlrd2="http://schemas.microsoft.com/office/spreadsheetml/2017/richdata2" ref="A2:A13">
    <sortCondition ref="A2:A13"/>
  </sortState>
  <conditionalFormatting sqref="A1:A17 A108:A1048576">
    <cfRule type="expression" dxfId="4" priority="1">
      <formula>"FIND(""Total"",C:C)"</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F16D0-CB0F-4D4E-AEA7-41ADCA3D33A2}">
  <sheetPr codeName="Sheet11"/>
  <dimension ref="A1:H37"/>
  <sheetViews>
    <sheetView workbookViewId="0">
      <selection activeCell="F2" sqref="F2"/>
    </sheetView>
  </sheetViews>
  <sheetFormatPr defaultRowHeight="15" x14ac:dyDescent="0.25"/>
  <cols>
    <col min="1" max="1" width="11.5703125" customWidth="1"/>
    <col min="2" max="2" width="16.85546875" customWidth="1"/>
    <col min="3" max="3" width="18.5703125" hidden="1" customWidth="1"/>
    <col min="4" max="4" width="63.85546875" style="28" customWidth="1"/>
    <col min="5" max="5" width="7.5703125" customWidth="1"/>
    <col min="6" max="6" width="13.5703125" style="65" customWidth="1"/>
    <col min="7" max="7" width="14" style="65" customWidth="1"/>
    <col min="8" max="8" width="11.5703125" style="65" bestFit="1" customWidth="1"/>
  </cols>
  <sheetData>
    <row r="1" spans="1:8" s="66" customFormat="1" ht="41.25" customHeight="1" x14ac:dyDescent="0.25">
      <c r="A1" s="75" t="s">
        <v>436</v>
      </c>
      <c r="B1" s="75" t="s">
        <v>444</v>
      </c>
      <c r="C1" s="75" t="s">
        <v>431</v>
      </c>
      <c r="D1" s="75" t="s">
        <v>443</v>
      </c>
      <c r="E1" s="75" t="s">
        <v>1</v>
      </c>
      <c r="F1" s="93" t="s">
        <v>437</v>
      </c>
      <c r="G1" s="93" t="s">
        <v>446</v>
      </c>
      <c r="H1" s="93" t="s">
        <v>604</v>
      </c>
    </row>
    <row r="2" spans="1:8" ht="30" x14ac:dyDescent="0.25">
      <c r="A2" s="43" t="s">
        <v>5</v>
      </c>
      <c r="B2" s="43" t="str">
        <f>CONCATENATE(A2,"-",VLOOKUP(C2,Tiers_list!A:B,2,FALSE))</f>
        <v>200-50042-11</v>
      </c>
      <c r="C2" s="43" t="str">
        <f>+'Proposal Form Tier 2-12'!$B$5</f>
        <v>Tier 11 - 2001 - 3000</v>
      </c>
      <c r="D2" s="55" t="s">
        <v>435</v>
      </c>
      <c r="E2" s="43">
        <f>_xlfn.XLOOKUP(A2,'Detail_Proposal_tier 2-12'!A:A,'Detail_Proposal_tier 2-12'!I:I,0,0)</f>
        <v>1</v>
      </c>
      <c r="F2" s="67">
        <f>_xlfn.XLOOKUP($A2,'Detail_Proposal_tier 2-12'!$A:$A,'Detail_Proposal_tier 2-12'!$J:$J,0,0)+_xlfn.XLOOKUP(A2,'Detail_Proposal_tier 2-12'!A:A,'Detail_Proposal_tier 2-12'!K:K,0,0)</f>
        <v>12825</v>
      </c>
      <c r="G2" s="67">
        <f>_xlfn.XLOOKUP($A2,'Detail_Proposal_tier 2-12'!$A:$A,'Detail_Proposal_tier 2-12'!$P:$P,0,0)</f>
        <v>17100</v>
      </c>
      <c r="H2" s="96">
        <f>+IF(G2=0,0,(G2-F2)/G2)</f>
        <v>0.25</v>
      </c>
    </row>
    <row r="3" spans="1:8" ht="15" customHeight="1" x14ac:dyDescent="0.25">
      <c r="A3" s="43" t="s">
        <v>6</v>
      </c>
      <c r="B3" s="43" t="str">
        <f>CONCATENATE(A3,"-",VLOOKUP(C3,Tiers_list!A:B,2,FALSE))</f>
        <v>200-50043-11</v>
      </c>
      <c r="C3" s="43" t="str">
        <f>+'Proposal Form Tier 2-12'!$B$5</f>
        <v>Tier 11 - 2001 - 3000</v>
      </c>
      <c r="D3" s="55" t="s">
        <v>438</v>
      </c>
      <c r="E3" s="43">
        <f>_xlfn.XLOOKUP(A3,'Detail_Proposal_tier 2-12'!A:A,'Detail_Proposal_tier 2-12'!I:I,0,0)</f>
        <v>0</v>
      </c>
      <c r="F3" s="67">
        <f>_xlfn.XLOOKUP(A3,'Detail_Proposal_tier 2-12'!A:A,'Detail_Proposal_tier 2-12'!J:J,0,0)+_xlfn.XLOOKUP(A3,'Detail_Proposal_tier 2-12'!A:A,'Detail_Proposal_tier 2-12'!K:K,0,0)</f>
        <v>0</v>
      </c>
      <c r="G3" s="67">
        <f>_xlfn.XLOOKUP($A3,'Detail_Proposal_tier 2-12'!$A:$A,'Detail_Proposal_tier 2-12'!$P:$P,0,0)</f>
        <v>0</v>
      </c>
      <c r="H3" s="96">
        <f t="shared" ref="H3:H37" si="0">+IF(G3=0,0,(G3-F3)/G3)</f>
        <v>0</v>
      </c>
    </row>
    <row r="4" spans="1:8" x14ac:dyDescent="0.25">
      <c r="A4" s="43" t="s">
        <v>63</v>
      </c>
      <c r="B4" s="43" t="str">
        <f>CONCATENATE(A4,"-",VLOOKUP(C4,Tiers_list!A:B,2,FALSE))</f>
        <v>200-50044-11</v>
      </c>
      <c r="C4" s="43" t="str">
        <f>+'Proposal Form Tier 2-12'!$B$5</f>
        <v>Tier 11 - 2001 - 3000</v>
      </c>
      <c r="D4" s="55" t="s">
        <v>87</v>
      </c>
      <c r="E4" s="43">
        <f>_xlfn.XLOOKUP(A4,'Detail_Proposal_tier 2-12'!A:A,'Detail_Proposal_tier 2-12'!I:I,0,0)</f>
        <v>1</v>
      </c>
      <c r="F4" s="67">
        <f>_xlfn.XLOOKUP(A4,'Detail_Proposal_tier 2-12'!A:A,'Detail_Proposal_tier 2-12'!J:J,0,0)+_xlfn.XLOOKUP(A4,'Detail_Proposal_tier 2-12'!A:A,'Detail_Proposal_tier 2-12'!K:K,0,0)</f>
        <v>801.5625</v>
      </c>
      <c r="G4" s="67">
        <f>_xlfn.XLOOKUP($A4,'Detail_Proposal_tier 2-12'!$A:$A,'Detail_Proposal_tier 2-12'!$P:$P,0,0)</f>
        <v>1068.75</v>
      </c>
      <c r="H4" s="96">
        <f t="shared" si="0"/>
        <v>0.25</v>
      </c>
    </row>
    <row r="5" spans="1:8" x14ac:dyDescent="0.25">
      <c r="A5" s="43" t="s">
        <v>7</v>
      </c>
      <c r="B5" s="43" t="str">
        <f>CONCATENATE(A5,"-",VLOOKUP(C5,Tiers_list!A:B,2,FALSE))</f>
        <v>200-50045-11</v>
      </c>
      <c r="C5" s="43" t="str">
        <f>+'Proposal Form Tier 2-12'!$B$5</f>
        <v>Tier 11 - 2001 - 3000</v>
      </c>
      <c r="D5" s="55" t="s">
        <v>88</v>
      </c>
      <c r="E5" s="43">
        <f>_xlfn.XLOOKUP(A5,'Detail_Proposal_tier 2-12'!A:A,'Detail_Proposal_tier 2-12'!I:I,0,0)</f>
        <v>1</v>
      </c>
      <c r="F5" s="67">
        <f>_xlfn.XLOOKUP(A5,'Detail_Proposal_tier 2-12'!A:A,'Detail_Proposal_tier 2-12'!J:J,0,0)+_xlfn.XLOOKUP(A5,'Detail_Proposal_tier 2-12'!A:A,'Detail_Proposal_tier 2-12'!K:K,0,0)</f>
        <v>801.5625</v>
      </c>
      <c r="G5" s="67">
        <f>_xlfn.XLOOKUP($A5,'Detail_Proposal_tier 2-12'!$A:$A,'Detail_Proposal_tier 2-12'!$P:$P,0,0)</f>
        <v>1068.75</v>
      </c>
      <c r="H5" s="96">
        <f t="shared" si="0"/>
        <v>0.25</v>
      </c>
    </row>
    <row r="6" spans="1:8" ht="30" x14ac:dyDescent="0.25">
      <c r="A6" s="43" t="s">
        <v>8</v>
      </c>
      <c r="B6" s="43" t="str">
        <f>CONCATENATE(A6,"-",VLOOKUP(C6,Tiers_list!A:B,2,FALSE))</f>
        <v>200-50046-11</v>
      </c>
      <c r="C6" s="43" t="str">
        <f>+'Proposal Form Tier 2-12'!$B$5</f>
        <v>Tier 11 - 2001 - 3000</v>
      </c>
      <c r="D6" s="55" t="s">
        <v>89</v>
      </c>
      <c r="E6" s="43">
        <f>_xlfn.XLOOKUP(A6,'Detail_Proposal_tier 2-12'!A:A,'Detail_Proposal_tier 2-12'!I:I,0,0)</f>
        <v>1</v>
      </c>
      <c r="F6" s="67">
        <f>_xlfn.XLOOKUP(A6,'Detail_Proposal_tier 2-12'!A:A,'Detail_Proposal_tier 2-12'!J:J,0,0)+_xlfn.XLOOKUP(A6,'Detail_Proposal_tier 2-12'!A:A,'Detail_Proposal_tier 2-12'!K:K,0,0)</f>
        <v>1068.75</v>
      </c>
      <c r="G6" s="67">
        <f>_xlfn.XLOOKUP($A6,'Detail_Proposal_tier 2-12'!$A:$A,'Detail_Proposal_tier 2-12'!$P:$P,0,0)</f>
        <v>1425</v>
      </c>
      <c r="H6" s="96">
        <f t="shared" si="0"/>
        <v>0.25</v>
      </c>
    </row>
    <row r="7" spans="1:8" ht="30" x14ac:dyDescent="0.25">
      <c r="A7" s="43" t="s">
        <v>9</v>
      </c>
      <c r="B7" s="43" t="str">
        <f>CONCATENATE(A7,"-",VLOOKUP(C7,Tiers_list!A:B,2,FALSE))</f>
        <v>200-50047-11</v>
      </c>
      <c r="C7" s="43" t="str">
        <f>+'Proposal Form Tier 2-12'!$B$5</f>
        <v>Tier 11 - 2001 - 3000</v>
      </c>
      <c r="D7" s="55" t="s">
        <v>90</v>
      </c>
      <c r="E7" s="43">
        <f>_xlfn.XLOOKUP(A7,'Detail_Proposal_tier 2-12'!A:A,'Detail_Proposal_tier 2-12'!I:I,0,0)</f>
        <v>0</v>
      </c>
      <c r="F7" s="67">
        <f>_xlfn.XLOOKUP(A7,'Detail_Proposal_tier 2-12'!A:A,'Detail_Proposal_tier 2-12'!J:J,0,0)+_xlfn.XLOOKUP(A7,'Detail_Proposal_tier 2-12'!A:A,'Detail_Proposal_tier 2-12'!K:K,0,0)</f>
        <v>0</v>
      </c>
      <c r="G7" s="67">
        <f>_xlfn.XLOOKUP($A7,'Detail_Proposal_tier 2-12'!$A:$A,'Detail_Proposal_tier 2-12'!$P:$P,0,0)</f>
        <v>0</v>
      </c>
      <c r="H7" s="96">
        <f t="shared" si="0"/>
        <v>0</v>
      </c>
    </row>
    <row r="8" spans="1:8" ht="30" x14ac:dyDescent="0.25">
      <c r="A8" s="43" t="s">
        <v>64</v>
      </c>
      <c r="B8" s="43" t="str">
        <f>CONCATENATE(A8,"-",VLOOKUP(C8,Tiers_list!A:B,2,FALSE))</f>
        <v>200-50048-11</v>
      </c>
      <c r="C8" s="43" t="str">
        <f>+'Proposal Form Tier 2-12'!$B$5</f>
        <v>Tier 11 - 2001 - 3000</v>
      </c>
      <c r="D8" s="55" t="s">
        <v>91</v>
      </c>
      <c r="E8" s="43">
        <f>_xlfn.XLOOKUP(A8,'Detail_Proposal_tier 2-12'!A:A,'Detail_Proposal_tier 2-12'!I:I,0,0)</f>
        <v>1</v>
      </c>
      <c r="F8" s="67">
        <f>_xlfn.XLOOKUP(A8,'Detail_Proposal_tier 2-12'!A:A,'Detail_Proposal_tier 2-12'!J:J,0,0)+_xlfn.XLOOKUP(A8,'Detail_Proposal_tier 2-12'!A:A,'Detail_Proposal_tier 2-12'!K:K,0,0)</f>
        <v>1068.75</v>
      </c>
      <c r="G8" s="67">
        <f>_xlfn.XLOOKUP($A8,'Detail_Proposal_tier 2-12'!$A:$A,'Detail_Proposal_tier 2-12'!$P:$P,0,0)</f>
        <v>1425</v>
      </c>
      <c r="H8" s="96">
        <f t="shared" si="0"/>
        <v>0.25</v>
      </c>
    </row>
    <row r="9" spans="1:8" x14ac:dyDescent="0.25">
      <c r="A9" s="43" t="s">
        <v>10</v>
      </c>
      <c r="B9" s="43" t="str">
        <f>CONCATENATE(A9,"-",VLOOKUP(C9,Tiers_list!A:B,2,FALSE))</f>
        <v>200-50049-11</v>
      </c>
      <c r="C9" s="43" t="str">
        <f>+'Proposal Form Tier 2-12'!$B$5</f>
        <v>Tier 11 - 2001 - 3000</v>
      </c>
      <c r="D9" s="55" t="s">
        <v>92</v>
      </c>
      <c r="E9" s="43">
        <f>_xlfn.XLOOKUP(A9,'Detail_Proposal_tier 2-12'!A:A,'Detail_Proposal_tier 2-12'!I:I,0,0)</f>
        <v>0</v>
      </c>
      <c r="F9" s="67">
        <f>_xlfn.XLOOKUP(A9,'Detail_Proposal_tier 2-12'!A:A,'Detail_Proposal_tier 2-12'!J:J,0,0)+_xlfn.XLOOKUP(A9,'Detail_Proposal_tier 2-12'!A:A,'Detail_Proposal_tier 2-12'!K:K,0,0)</f>
        <v>0</v>
      </c>
      <c r="G9" s="67">
        <f>_xlfn.XLOOKUP($A9,'Detail_Proposal_tier 2-12'!$A:$A,'Detail_Proposal_tier 2-12'!$P:$P,0,0)</f>
        <v>0</v>
      </c>
      <c r="H9" s="96">
        <f t="shared" si="0"/>
        <v>0</v>
      </c>
    </row>
    <row r="10" spans="1:8" ht="30" x14ac:dyDescent="0.25">
      <c r="A10" s="43" t="s">
        <v>11</v>
      </c>
      <c r="B10" s="43" t="str">
        <f>CONCATENATE(A10,"-",VLOOKUP(C10,Tiers_list!A:B,2,FALSE))</f>
        <v>200-50050-11</v>
      </c>
      <c r="C10" s="43" t="str">
        <f>+'Proposal Form Tier 2-12'!$B$5</f>
        <v>Tier 11 - 2001 - 3000</v>
      </c>
      <c r="D10" s="55" t="s">
        <v>93</v>
      </c>
      <c r="E10" s="43">
        <f>_xlfn.XLOOKUP(A10,'Detail_Proposal_tier 2-12'!A:A,'Detail_Proposal_tier 2-12'!I:I,0,0)</f>
        <v>0</v>
      </c>
      <c r="F10" s="67">
        <f>_xlfn.XLOOKUP(A10,'Detail_Proposal_tier 2-12'!A:A,'Detail_Proposal_tier 2-12'!J:J,0,0)+_xlfn.XLOOKUP(A10,'Detail_Proposal_tier 2-12'!A:A,'Detail_Proposal_tier 2-12'!K:K,0,0)</f>
        <v>0</v>
      </c>
      <c r="G10" s="67">
        <f>_xlfn.XLOOKUP($A10,'Detail_Proposal_tier 2-12'!$A:$A,'Detail_Proposal_tier 2-12'!$P:$P,0,0)</f>
        <v>0</v>
      </c>
      <c r="H10" s="96">
        <f t="shared" si="0"/>
        <v>0</v>
      </c>
    </row>
    <row r="11" spans="1:8" x14ac:dyDescent="0.25">
      <c r="A11" s="43" t="s">
        <v>65</v>
      </c>
      <c r="B11" s="43" t="str">
        <f>CONCATENATE(A11,"-",VLOOKUP(C11,Tiers_list!A:B,2,FALSE))</f>
        <v>200-50051-11</v>
      </c>
      <c r="C11" s="43" t="str">
        <f>+'Proposal Form Tier 2-12'!$B$5</f>
        <v>Tier 11 - 2001 - 3000</v>
      </c>
      <c r="D11" s="55" t="s">
        <v>94</v>
      </c>
      <c r="E11" s="43">
        <f>_xlfn.XLOOKUP(A11,'Detail_Proposal_tier 2-12'!A:A,'Detail_Proposal_tier 2-12'!I:I,0,0)</f>
        <v>1</v>
      </c>
      <c r="F11" s="67">
        <f>_xlfn.XLOOKUP(A11,'Detail_Proposal_tier 2-12'!A:A,'Detail_Proposal_tier 2-12'!J:J,0,0)+_xlfn.XLOOKUP(A11,'Detail_Proposal_tier 2-12'!A:A,'Detail_Proposal_tier 2-12'!K:K,0,0)</f>
        <v>801.5625</v>
      </c>
      <c r="G11" s="67">
        <f>_xlfn.XLOOKUP($A11,'Detail_Proposal_tier 2-12'!$A:$A,'Detail_Proposal_tier 2-12'!$P:$P,0,0)</f>
        <v>1068.75</v>
      </c>
      <c r="H11" s="96">
        <f t="shared" si="0"/>
        <v>0.25</v>
      </c>
    </row>
    <row r="12" spans="1:8" x14ac:dyDescent="0.25">
      <c r="A12" s="43" t="s">
        <v>12</v>
      </c>
      <c r="B12" s="43" t="str">
        <f>CONCATENATE(A12,"-",VLOOKUP(C12,Tiers_list!A:B,2,FALSE))</f>
        <v>200-50052-11</v>
      </c>
      <c r="C12" s="43" t="str">
        <f>+'Proposal Form Tier 2-12'!$B$5</f>
        <v>Tier 11 - 2001 - 3000</v>
      </c>
      <c r="D12" s="55" t="s">
        <v>439</v>
      </c>
      <c r="E12" s="43">
        <f>_xlfn.XLOOKUP(A12,'Detail_Proposal_tier 2-12'!A:A,'Detail_Proposal_tier 2-12'!I:I,0,0)</f>
        <v>1</v>
      </c>
      <c r="F12" s="67">
        <f>_xlfn.XLOOKUP(A12,'Detail_Proposal_tier 2-12'!A:A,'Detail_Proposal_tier 2-12'!J:J,0,0)+_xlfn.XLOOKUP(A12,'Detail_Proposal_tier 2-12'!A:A,'Detail_Proposal_tier 2-12'!K:K,0,0)</f>
        <v>534.375</v>
      </c>
      <c r="G12" s="67">
        <f>_xlfn.XLOOKUP($A12,'Detail_Proposal_tier 2-12'!$A:$A,'Detail_Proposal_tier 2-12'!$P:$P,0,0)</f>
        <v>712.5</v>
      </c>
      <c r="H12" s="96">
        <f t="shared" si="0"/>
        <v>0.25</v>
      </c>
    </row>
    <row r="13" spans="1:8" x14ac:dyDescent="0.25">
      <c r="A13" s="43" t="s">
        <v>13</v>
      </c>
      <c r="B13" s="43" t="str">
        <f>CONCATENATE(A13,"-",VLOOKUP(C13,Tiers_list!A:B,2,FALSE))</f>
        <v>200-50053-11</v>
      </c>
      <c r="C13" s="43" t="str">
        <f>+'Proposal Form Tier 2-12'!$B$5</f>
        <v>Tier 11 - 2001 - 3000</v>
      </c>
      <c r="D13" s="55" t="s">
        <v>96</v>
      </c>
      <c r="E13" s="43">
        <f>_xlfn.XLOOKUP(A13,'Detail_Proposal_tier 2-12'!A:A,'Detail_Proposal_tier 2-12'!I:I,0,0)</f>
        <v>0</v>
      </c>
      <c r="F13" s="67">
        <f>_xlfn.XLOOKUP(A13,'Detail_Proposal_tier 2-12'!A:A,'Detail_Proposal_tier 2-12'!J:J,0,0)+_xlfn.XLOOKUP(A13,'Detail_Proposal_tier 2-12'!A:A,'Detail_Proposal_tier 2-12'!K:K,0,0)</f>
        <v>0</v>
      </c>
      <c r="G13" s="67">
        <f>_xlfn.XLOOKUP($A13,'Detail_Proposal_tier 2-12'!$A:$A,'Detail_Proposal_tier 2-12'!$P:$P,0,0)</f>
        <v>0</v>
      </c>
      <c r="H13" s="96">
        <f t="shared" si="0"/>
        <v>0</v>
      </c>
    </row>
    <row r="14" spans="1:8" x14ac:dyDescent="0.25">
      <c r="A14" s="43" t="s">
        <v>66</v>
      </c>
      <c r="B14" s="43" t="str">
        <f>CONCATENATE(A14,"-",VLOOKUP(C14,Tiers_list!A:B,2,FALSE))</f>
        <v>200-50054-11</v>
      </c>
      <c r="C14" s="43" t="str">
        <f>+'Proposal Form Tier 2-12'!$B$5</f>
        <v>Tier 11 - 2001 - 3000</v>
      </c>
      <c r="D14" s="55" t="s">
        <v>97</v>
      </c>
      <c r="E14" s="43">
        <f>_xlfn.XLOOKUP(A14,'Detail_Proposal_tier 2-12'!A:A,'Detail_Proposal_tier 2-12'!I:I,0,0)</f>
        <v>0</v>
      </c>
      <c r="F14" s="67">
        <f>_xlfn.XLOOKUP(A14,'Detail_Proposal_tier 2-12'!A:A,'Detail_Proposal_tier 2-12'!J:J,0,0)+_xlfn.XLOOKUP(A14,'Detail_Proposal_tier 2-12'!A:A,'Detail_Proposal_tier 2-12'!K:K,0,0)</f>
        <v>0</v>
      </c>
      <c r="G14" s="67">
        <f>_xlfn.XLOOKUP($A14,'Detail_Proposal_tier 2-12'!$A:$A,'Detail_Proposal_tier 2-12'!$P:$P,0,0)</f>
        <v>0</v>
      </c>
      <c r="H14" s="96">
        <f t="shared" si="0"/>
        <v>0</v>
      </c>
    </row>
    <row r="15" spans="1:8" x14ac:dyDescent="0.25">
      <c r="A15" s="43" t="s">
        <v>67</v>
      </c>
      <c r="B15" s="43" t="str">
        <f>CONCATENATE(A15,"-",VLOOKUP(C15,Tiers_list!A:B,2,FALSE))</f>
        <v>200-50055-11</v>
      </c>
      <c r="C15" s="43" t="str">
        <f>+'Proposal Form Tier 2-12'!$B$5</f>
        <v>Tier 11 - 2001 - 3000</v>
      </c>
      <c r="D15" s="55" t="s">
        <v>98</v>
      </c>
      <c r="E15" s="43">
        <f>_xlfn.XLOOKUP(A15,'Detail_Proposal_tier 2-12'!A:A,'Detail_Proposal_tier 2-12'!I:I,0,0)</f>
        <v>1</v>
      </c>
      <c r="F15" s="67">
        <f>_xlfn.XLOOKUP(A15,'Detail_Proposal_tier 2-12'!A:A,'Detail_Proposal_tier 2-12'!J:J,0,0)+_xlfn.XLOOKUP(A15,'Detail_Proposal_tier 2-12'!A:A,'Detail_Proposal_tier 2-12'!K:K,0,0)</f>
        <v>801.5625</v>
      </c>
      <c r="G15" s="67">
        <f>_xlfn.XLOOKUP($A15,'Detail_Proposal_tier 2-12'!$A:$A,'Detail_Proposal_tier 2-12'!$P:$P,0,0)</f>
        <v>1068.75</v>
      </c>
      <c r="H15" s="96">
        <f t="shared" si="0"/>
        <v>0.25</v>
      </c>
    </row>
    <row r="16" spans="1:8" x14ac:dyDescent="0.25">
      <c r="A16" s="43" t="s">
        <v>68</v>
      </c>
      <c r="B16" s="43" t="str">
        <f>CONCATENATE(A16,"-",VLOOKUP(C16,Tiers_list!A:B,2,FALSE))</f>
        <v>200-50056-11</v>
      </c>
      <c r="C16" s="43" t="str">
        <f>+'Proposal Form Tier 2-12'!$B$5</f>
        <v>Tier 11 - 2001 - 3000</v>
      </c>
      <c r="D16" s="55" t="s">
        <v>99</v>
      </c>
      <c r="E16" s="43">
        <f>_xlfn.XLOOKUP(A16,'Detail_Proposal_tier 2-12'!A:A,'Detail_Proposal_tier 2-12'!I:I,0,0)</f>
        <v>1</v>
      </c>
      <c r="F16" s="67">
        <f>_xlfn.XLOOKUP(A16,'Detail_Proposal_tier 2-12'!A:A,'Detail_Proposal_tier 2-12'!J:J,0,0)+_xlfn.XLOOKUP(A16,'Detail_Proposal_tier 2-12'!A:A,'Detail_Proposal_tier 2-12'!K:K,0,0)</f>
        <v>1068.75</v>
      </c>
      <c r="G16" s="67">
        <f>_xlfn.XLOOKUP($A16,'Detail_Proposal_tier 2-12'!$A:$A,'Detail_Proposal_tier 2-12'!$P:$P,0,0)</f>
        <v>1425</v>
      </c>
      <c r="H16" s="96">
        <f t="shared" si="0"/>
        <v>0.25</v>
      </c>
    </row>
    <row r="17" spans="1:8" ht="30" x14ac:dyDescent="0.25">
      <c r="A17" s="43" t="s">
        <v>69</v>
      </c>
      <c r="B17" s="43" t="str">
        <f>CONCATENATE(A17,"-",VLOOKUP(C17,Tiers_list!A:B,2,FALSE))</f>
        <v>200-50057-11</v>
      </c>
      <c r="C17" s="43" t="str">
        <f>+'Proposal Form Tier 2-12'!$B$5</f>
        <v>Tier 11 - 2001 - 3000</v>
      </c>
      <c r="D17" s="55" t="s">
        <v>100</v>
      </c>
      <c r="E17" s="43">
        <f>_xlfn.XLOOKUP(A17,'Detail_Proposal_tier 2-12'!A:A,'Detail_Proposal_tier 2-12'!I:I,0,0)</f>
        <v>1</v>
      </c>
      <c r="F17" s="67">
        <f>_xlfn.XLOOKUP(A17,'Detail_Proposal_tier 2-12'!A:A,'Detail_Proposal_tier 2-12'!J:J,0,0)+_xlfn.XLOOKUP(A17,'Detail_Proposal_tier 2-12'!A:A,'Detail_Proposal_tier 2-12'!K:K,0,0)</f>
        <v>801.5625</v>
      </c>
      <c r="G17" s="67">
        <f>_xlfn.XLOOKUP($A17,'Detail_Proposal_tier 2-12'!$A:$A,'Detail_Proposal_tier 2-12'!$P:$P,0,0)</f>
        <v>1068.75</v>
      </c>
      <c r="H17" s="96">
        <f t="shared" si="0"/>
        <v>0.25</v>
      </c>
    </row>
    <row r="18" spans="1:8" ht="30" x14ac:dyDescent="0.25">
      <c r="A18" s="43" t="s">
        <v>70</v>
      </c>
      <c r="B18" s="43" t="str">
        <f>CONCATENATE(A18,"-",VLOOKUP(C18,Tiers_list!A:B,2,FALSE))</f>
        <v>200-50058-11</v>
      </c>
      <c r="C18" s="43" t="str">
        <f>+'Proposal Form Tier 2-12'!$B$5</f>
        <v>Tier 11 - 2001 - 3000</v>
      </c>
      <c r="D18" s="55" t="s">
        <v>101</v>
      </c>
      <c r="E18" s="43">
        <f>_xlfn.XLOOKUP(A18,'Detail_Proposal_tier 2-12'!A:A,'Detail_Proposal_tier 2-12'!I:I,0,0)</f>
        <v>0</v>
      </c>
      <c r="F18" s="67">
        <f>_xlfn.XLOOKUP(A18,'Detail_Proposal_tier 2-12'!A:A,'Detail_Proposal_tier 2-12'!J:J,0,0)+_xlfn.XLOOKUP(A18,'Detail_Proposal_tier 2-12'!A:A,'Detail_Proposal_tier 2-12'!K:K,0,0)</f>
        <v>0</v>
      </c>
      <c r="G18" s="67">
        <f>_xlfn.XLOOKUP($A18,'Detail_Proposal_tier 2-12'!$A:$A,'Detail_Proposal_tier 2-12'!$P:$P,0,0)</f>
        <v>0</v>
      </c>
      <c r="H18" s="96">
        <f t="shared" si="0"/>
        <v>0</v>
      </c>
    </row>
    <row r="19" spans="1:8" x14ac:dyDescent="0.25">
      <c r="A19" s="43" t="s">
        <v>71</v>
      </c>
      <c r="B19" s="43" t="str">
        <f>CONCATENATE(A19,"-",VLOOKUP(C19,Tiers_list!A:B,2,FALSE))</f>
        <v>200-50059-11</v>
      </c>
      <c r="C19" s="43" t="str">
        <f>+'Proposal Form Tier 2-12'!$B$5</f>
        <v>Tier 11 - 2001 - 3000</v>
      </c>
      <c r="D19" s="55" t="s">
        <v>102</v>
      </c>
      <c r="E19" s="43">
        <f>_xlfn.XLOOKUP(A19,'Detail_Proposal_tier 2-12'!A:A,'Detail_Proposal_tier 2-12'!I:I,0,0)</f>
        <v>1</v>
      </c>
      <c r="F19" s="67">
        <f>_xlfn.XLOOKUP(A19,'Detail_Proposal_tier 2-12'!A:A,'Detail_Proposal_tier 2-12'!J:J,0,0)+_xlfn.XLOOKUP(A19,'Detail_Proposal_tier 2-12'!A:A,'Detail_Proposal_tier 2-12'!K:K,0,0)</f>
        <v>801.5625</v>
      </c>
      <c r="G19" s="67">
        <f>_xlfn.XLOOKUP($A19,'Detail_Proposal_tier 2-12'!$A:$A,'Detail_Proposal_tier 2-12'!$P:$P,0,0)</f>
        <v>1068.75</v>
      </c>
      <c r="H19" s="96">
        <f t="shared" si="0"/>
        <v>0.25</v>
      </c>
    </row>
    <row r="20" spans="1:8" x14ac:dyDescent="0.25">
      <c r="A20" s="43" t="s">
        <v>61</v>
      </c>
      <c r="B20" s="43" t="str">
        <f>CONCATENATE(A20,"-",VLOOKUP(C20,Tiers_list!A:B,2,FALSE))</f>
        <v>200-50060-11</v>
      </c>
      <c r="C20" s="43" t="str">
        <f>+'Proposal Form Tier 2-12'!$B$5</f>
        <v>Tier 11 - 2001 - 3000</v>
      </c>
      <c r="D20" s="55" t="s">
        <v>440</v>
      </c>
      <c r="E20" s="43">
        <f>_xlfn.XLOOKUP(A20,'Detail_Proposal_tier 2-12'!A:A,'Detail_Proposal_tier 2-12'!I:I,0,0)</f>
        <v>1</v>
      </c>
      <c r="F20" s="67">
        <f>_xlfn.XLOOKUP(A20,'Detail_Proposal_tier 2-12'!A:A,'Detail_Proposal_tier 2-12'!J:J,0,0)+_xlfn.XLOOKUP(A20,'Detail_Proposal_tier 2-12'!A:A,'Detail_Proposal_tier 2-12'!K:K,0,0)</f>
        <v>801.5625</v>
      </c>
      <c r="G20" s="67">
        <f>_xlfn.XLOOKUP($A20,'Detail_Proposal_tier 2-12'!$A:$A,'Detail_Proposal_tier 2-12'!$P:$P,0,0)</f>
        <v>1068.75</v>
      </c>
      <c r="H20" s="96">
        <f t="shared" si="0"/>
        <v>0.25</v>
      </c>
    </row>
    <row r="21" spans="1:8" x14ac:dyDescent="0.25">
      <c r="A21" s="43" t="s">
        <v>62</v>
      </c>
      <c r="B21" s="43" t="str">
        <f>CONCATENATE(A21,"-",VLOOKUP(C21,Tiers_list!A:B,2,FALSE))</f>
        <v>200-50061-11</v>
      </c>
      <c r="C21" s="43" t="str">
        <f>+'Proposal Form Tier 2-12'!$B$5</f>
        <v>Tier 11 - 2001 - 3000</v>
      </c>
      <c r="D21" s="55" t="s">
        <v>104</v>
      </c>
      <c r="E21" s="43">
        <f>_xlfn.XLOOKUP(A21,'Detail_Proposal_tier 2-12'!A:A,'Detail_Proposal_tier 2-12'!I:I,0,0)</f>
        <v>1</v>
      </c>
      <c r="F21" s="67">
        <f>_xlfn.XLOOKUP(A21,'Detail_Proposal_tier 2-12'!A:A,'Detail_Proposal_tier 2-12'!J:J,0,0)+_xlfn.XLOOKUP(A21,'Detail_Proposal_tier 2-12'!A:A,'Detail_Proposal_tier 2-12'!K:K,0,0)</f>
        <v>1068.75</v>
      </c>
      <c r="G21" s="67">
        <f>_xlfn.XLOOKUP($A21,'Detail_Proposal_tier 2-12'!$A:$A,'Detail_Proposal_tier 2-12'!$P:$P,0,0)</f>
        <v>1425</v>
      </c>
      <c r="H21" s="96">
        <f t="shared" si="0"/>
        <v>0.25</v>
      </c>
    </row>
    <row r="22" spans="1:8" x14ac:dyDescent="0.25">
      <c r="A22" s="43" t="s">
        <v>72</v>
      </c>
      <c r="B22" s="43" t="str">
        <f>CONCATENATE(A22,"-",VLOOKUP(C22,Tiers_list!A:B,2,FALSE))</f>
        <v>200-50062-11</v>
      </c>
      <c r="C22" s="43" t="str">
        <f>+'Proposal Form Tier 2-12'!$B$5</f>
        <v>Tier 11 - 2001 - 3000</v>
      </c>
      <c r="D22" s="55" t="s">
        <v>105</v>
      </c>
      <c r="E22" s="43">
        <f>_xlfn.XLOOKUP(A22,'Detail_Proposal_tier 2-12'!A:A,'Detail_Proposal_tier 2-12'!I:I,0,0)</f>
        <v>0</v>
      </c>
      <c r="F22" s="67">
        <f>_xlfn.XLOOKUP(A22,'Detail_Proposal_tier 2-12'!A:A,'Detail_Proposal_tier 2-12'!J:J,0,0)+_xlfn.XLOOKUP(A22,'Detail_Proposal_tier 2-12'!A:A,'Detail_Proposal_tier 2-12'!K:K,0,0)</f>
        <v>0</v>
      </c>
      <c r="G22" s="67">
        <f>_xlfn.XLOOKUP($A22,'Detail_Proposal_tier 2-12'!$A:$A,'Detail_Proposal_tier 2-12'!$P:$P,0,0)</f>
        <v>0</v>
      </c>
      <c r="H22" s="96">
        <f t="shared" si="0"/>
        <v>0</v>
      </c>
    </row>
    <row r="23" spans="1:8" x14ac:dyDescent="0.25">
      <c r="A23" s="43" t="s">
        <v>73</v>
      </c>
      <c r="B23" s="43" t="str">
        <f>CONCATENATE(A23,"-",VLOOKUP(C23,Tiers_list!A:B,2,FALSE))</f>
        <v>200-50063-11</v>
      </c>
      <c r="C23" s="43" t="str">
        <f>+'Proposal Form Tier 2-12'!$B$5</f>
        <v>Tier 11 - 2001 - 3000</v>
      </c>
      <c r="D23" s="55" t="s">
        <v>106</v>
      </c>
      <c r="E23" s="43">
        <f>_xlfn.XLOOKUP(A23,'Detail_Proposal_tier 2-12'!A:A,'Detail_Proposal_tier 2-12'!I:I,0,0)</f>
        <v>1</v>
      </c>
      <c r="F23" s="67">
        <f>_xlfn.XLOOKUP(A23,'Detail_Proposal_tier 2-12'!A:A,'Detail_Proposal_tier 2-12'!J:J,0,0)+_xlfn.XLOOKUP(A23,'Detail_Proposal_tier 2-12'!A:A,'Detail_Proposal_tier 2-12'!K:K,0,0)</f>
        <v>534.375</v>
      </c>
      <c r="G23" s="67">
        <f>_xlfn.XLOOKUP($A23,'Detail_Proposal_tier 2-12'!$A:$A,'Detail_Proposal_tier 2-12'!$P:$P,0,0)</f>
        <v>712.5</v>
      </c>
      <c r="H23" s="96">
        <f t="shared" si="0"/>
        <v>0.25</v>
      </c>
    </row>
    <row r="24" spans="1:8" x14ac:dyDescent="0.25">
      <c r="A24" s="43" t="s">
        <v>74</v>
      </c>
      <c r="B24" s="43" t="str">
        <f>CONCATENATE(A24,"-",VLOOKUP(C24,Tiers_list!A:B,2,FALSE))</f>
        <v>200-50064-11</v>
      </c>
      <c r="C24" s="43" t="str">
        <f>+'Proposal Form Tier 2-12'!$B$5</f>
        <v>Tier 11 - 2001 - 3000</v>
      </c>
      <c r="D24" s="55" t="s">
        <v>107</v>
      </c>
      <c r="E24" s="43">
        <f>_xlfn.XLOOKUP(A24,'Detail_Proposal_tier 2-12'!A:A,'Detail_Proposal_tier 2-12'!I:I,0,0)</f>
        <v>1</v>
      </c>
      <c r="F24" s="67">
        <f>_xlfn.XLOOKUP(A24,'Detail_Proposal_tier 2-12'!A:A,'Detail_Proposal_tier 2-12'!J:J,0,0)+_xlfn.XLOOKUP(A24,'Detail_Proposal_tier 2-12'!A:A,'Detail_Proposal_tier 2-12'!K:K,0,0)</f>
        <v>534.375</v>
      </c>
      <c r="G24" s="67">
        <f>_xlfn.XLOOKUP($A24,'Detail_Proposal_tier 2-12'!$A:$A,'Detail_Proposal_tier 2-12'!$P:$P,0,0)</f>
        <v>712.5</v>
      </c>
      <c r="H24" s="96">
        <f t="shared" si="0"/>
        <v>0.25</v>
      </c>
    </row>
    <row r="25" spans="1:8" x14ac:dyDescent="0.25">
      <c r="A25" s="43" t="s">
        <v>75</v>
      </c>
      <c r="B25" s="43" t="str">
        <f>CONCATENATE(A25,"-",VLOOKUP(C25,Tiers_list!A:B,2,FALSE))</f>
        <v>200-50066-11</v>
      </c>
      <c r="C25" s="43" t="str">
        <f>+'Proposal Form Tier 2-12'!$B$5</f>
        <v>Tier 11 - 2001 - 3000</v>
      </c>
      <c r="D25" s="55" t="s">
        <v>441</v>
      </c>
      <c r="E25" s="43">
        <f>_xlfn.XLOOKUP(A25,'Detail_Proposal_tier 2-12'!A:A,'Detail_Proposal_tier 2-12'!I:I,0,0)</f>
        <v>1</v>
      </c>
      <c r="F25" s="67">
        <f>_xlfn.XLOOKUP(A25,'Detail_Proposal_tier 2-12'!A:A,'Detail_Proposal_tier 2-12'!J:J,0,0)+_xlfn.XLOOKUP(A25,'Detail_Proposal_tier 2-12'!A:A,'Detail_Proposal_tier 2-12'!K:K,0,0)</f>
        <v>801.5625</v>
      </c>
      <c r="G25" s="67">
        <f>_xlfn.XLOOKUP($A25,'Detail_Proposal_tier 2-12'!$A:$A,'Detail_Proposal_tier 2-12'!$P:$P,0,0)</f>
        <v>1068.75</v>
      </c>
      <c r="H25" s="96">
        <f t="shared" si="0"/>
        <v>0.25</v>
      </c>
    </row>
    <row r="26" spans="1:8" x14ac:dyDescent="0.25">
      <c r="A26" s="43" t="s">
        <v>76</v>
      </c>
      <c r="B26" s="43" t="str">
        <f>CONCATENATE(A26,"-",VLOOKUP(C26,Tiers_list!A:B,2,FALSE))</f>
        <v>200-50067-11</v>
      </c>
      <c r="C26" s="43" t="str">
        <f>+'Proposal Form Tier 2-12'!$B$5</f>
        <v>Tier 11 - 2001 - 3000</v>
      </c>
      <c r="D26" s="55" t="s">
        <v>110</v>
      </c>
      <c r="E26" s="43">
        <f>_xlfn.XLOOKUP(A26,'Detail_Proposal_tier 2-12'!A:A,'Detail_Proposal_tier 2-12'!I:I,0,0)</f>
        <v>1</v>
      </c>
      <c r="F26" s="67">
        <f>_xlfn.XLOOKUP(A26,'Detail_Proposal_tier 2-12'!A:A,'Detail_Proposal_tier 2-12'!J:J,0,0)+_xlfn.XLOOKUP(A26,'Detail_Proposal_tier 2-12'!A:A,'Detail_Proposal_tier 2-12'!K:K,0,0)</f>
        <v>534.375</v>
      </c>
      <c r="G26" s="67">
        <f>_xlfn.XLOOKUP($A26,'Detail_Proposal_tier 2-12'!$A:$A,'Detail_Proposal_tier 2-12'!$P:$P,0,0)</f>
        <v>712.5</v>
      </c>
      <c r="H26" s="96">
        <f t="shared" si="0"/>
        <v>0.25</v>
      </c>
    </row>
    <row r="27" spans="1:8" ht="30" x14ac:dyDescent="0.25">
      <c r="A27" s="43" t="s">
        <v>77</v>
      </c>
      <c r="B27" s="43" t="str">
        <f>CONCATENATE(A27,"-",VLOOKUP(C27,Tiers_list!A:B,2,FALSE))</f>
        <v>200-50068-11</v>
      </c>
      <c r="C27" s="43" t="str">
        <f>+'Proposal Form Tier 2-12'!$B$5</f>
        <v>Tier 11 - 2001 - 3000</v>
      </c>
      <c r="D27" s="55" t="s">
        <v>111</v>
      </c>
      <c r="E27" s="43">
        <f>_xlfn.XLOOKUP(A27,'Detail_Proposal_tier 2-12'!A:A,'Detail_Proposal_tier 2-12'!I:I,0,0)</f>
        <v>0</v>
      </c>
      <c r="F27" s="67">
        <f>_xlfn.XLOOKUP(A27,'Detail_Proposal_tier 2-12'!A:A,'Detail_Proposal_tier 2-12'!J:J,0,0)+_xlfn.XLOOKUP(A27,'Detail_Proposal_tier 2-12'!A:A,'Detail_Proposal_tier 2-12'!K:K,0,0)</f>
        <v>0</v>
      </c>
      <c r="G27" s="67">
        <f>_xlfn.XLOOKUP($A27,'Detail_Proposal_tier 2-12'!$A:$A,'Detail_Proposal_tier 2-12'!$P:$P,0,0)</f>
        <v>0</v>
      </c>
      <c r="H27" s="96">
        <f t="shared" si="0"/>
        <v>0</v>
      </c>
    </row>
    <row r="28" spans="1:8" x14ac:dyDescent="0.25">
      <c r="A28" s="43" t="s">
        <v>78</v>
      </c>
      <c r="B28" s="43" t="str">
        <f>CONCATENATE(A28,"-",VLOOKUP(C28,Tiers_list!A:B,2,FALSE))</f>
        <v>200-50069-11</v>
      </c>
      <c r="C28" s="43" t="str">
        <f>+'Proposal Form Tier 2-12'!$B$5</f>
        <v>Tier 11 - 2001 - 3000</v>
      </c>
      <c r="D28" s="55" t="s">
        <v>112</v>
      </c>
      <c r="E28" s="43">
        <f>_xlfn.XLOOKUP(A28,'Detail_Proposal_tier 2-12'!A:A,'Detail_Proposal_tier 2-12'!I:I,0,0)</f>
        <v>1</v>
      </c>
      <c r="F28" s="67">
        <f>_xlfn.XLOOKUP(A28,'Detail_Proposal_tier 2-12'!A:A,'Detail_Proposal_tier 2-12'!J:J,0,0)+_xlfn.XLOOKUP(A28,'Detail_Proposal_tier 2-12'!A:A,'Detail_Proposal_tier 2-12'!K:K,0,0)</f>
        <v>801.5625</v>
      </c>
      <c r="G28" s="67">
        <f>_xlfn.XLOOKUP($A28,'Detail_Proposal_tier 2-12'!$A:$A,'Detail_Proposal_tier 2-12'!$P:$P,0,0)</f>
        <v>1068.75</v>
      </c>
      <c r="H28" s="96">
        <f t="shared" si="0"/>
        <v>0.25</v>
      </c>
    </row>
    <row r="29" spans="1:8" x14ac:dyDescent="0.25">
      <c r="A29" s="43" t="s">
        <v>79</v>
      </c>
      <c r="B29" s="43" t="str">
        <f>CONCATENATE(A29,"-",VLOOKUP(C29,Tiers_list!A:B,2,FALSE))</f>
        <v>200-50070-11</v>
      </c>
      <c r="C29" s="43" t="str">
        <f>+'Proposal Form Tier 2-12'!$B$5</f>
        <v>Tier 11 - 2001 - 3000</v>
      </c>
      <c r="D29" s="55" t="s">
        <v>81</v>
      </c>
      <c r="E29" s="43">
        <f>_xlfn.XLOOKUP(A29,'Detail_Proposal_tier 2-12'!A:A,'Detail_Proposal_tier 2-12'!I:I,0,0)</f>
        <v>2200</v>
      </c>
      <c r="F29" s="67">
        <f>_xlfn.XLOOKUP(A29,'Detail_Proposal_tier 2-12'!A:A,'Detail_Proposal_tier 2-12'!J:J,0,0)+_xlfn.XLOOKUP(A29,'Detail_Proposal_tier 2-12'!A:A,'Detail_Proposal_tier 2-12'!K:K,0,0)</f>
        <v>21278.328445913787</v>
      </c>
      <c r="G29" s="67">
        <f>_xlfn.XLOOKUP($A29,'Detail_Proposal_tier 2-12'!$A:$A,'Detail_Proposal_tier 2-12'!$P:$P,0,0)</f>
        <v>28371.104594551714</v>
      </c>
      <c r="H29" s="96">
        <f t="shared" si="0"/>
        <v>0.24999999999999997</v>
      </c>
    </row>
    <row r="30" spans="1:8" x14ac:dyDescent="0.25">
      <c r="A30" s="43" t="s">
        <v>157</v>
      </c>
      <c r="B30" s="43" t="str">
        <f>CONCATENATE(A30,"-",VLOOKUP(C30,Tiers_list!A:B,2,FALSE))</f>
        <v>YEAR-ACS-RTS-11</v>
      </c>
      <c r="C30" s="43" t="str">
        <f>+'Proposal Form Tier 2-12'!$B$5</f>
        <v>Tier 11 - 2001 - 3000</v>
      </c>
      <c r="D30" s="55" t="s">
        <v>0</v>
      </c>
      <c r="E30" s="43">
        <f>_xlfn.XLOOKUP(A30,'Detail_Proposal_tier 2-12'!A:A,'Detail_Proposal_tier 2-12'!I:I,0,0)</f>
        <v>1</v>
      </c>
      <c r="F30" s="67">
        <f>_xlfn.XLOOKUP(A30,'Detail_Proposal_tier 2-12'!A:A,'Detail_Proposal_tier 2-12'!J:J,0,0)+_xlfn.XLOOKUP(A30,'Detail_Proposal_tier 2-12'!A:A,'Detail_Proposal_tier 2-12'!K:K,0,0)</f>
        <v>19000</v>
      </c>
      <c r="G30" s="67">
        <f>_xlfn.XLOOKUP($A30,'Detail_Proposal_tier 2-12'!$A:$A,'Detail_Proposal_tier 2-12'!$P:$P,0,0)</f>
        <v>25333.333333333332</v>
      </c>
      <c r="H30" s="96">
        <f t="shared" si="0"/>
        <v>0.24999999999999997</v>
      </c>
    </row>
    <row r="31" spans="1:8" x14ac:dyDescent="0.25">
      <c r="A31" s="43" t="s">
        <v>79</v>
      </c>
      <c r="B31" s="43" t="str">
        <f>CONCATENATE(A31,"-",VLOOKUP(C31,Tiers_list!A:B,2,FALSE))</f>
        <v>200-50070-11</v>
      </c>
      <c r="C31" s="43" t="str">
        <f>+'Proposal Form Tier 2-12'!$B$5</f>
        <v>Tier 11 - 2001 - 3000</v>
      </c>
      <c r="D31" s="55" t="s">
        <v>81</v>
      </c>
      <c r="E31" s="43" t="e">
        <f>_xlfn.XLOOKUP($A31,#REF!,#REF!,0,0)</f>
        <v>#REF!</v>
      </c>
      <c r="F31" s="67" t="e">
        <f>_xlfn.XLOOKUP($A31,#REF!,#REF!,0,0)</f>
        <v>#REF!</v>
      </c>
      <c r="G31" s="67" t="e">
        <f>_xlfn.XLOOKUP($A31,#REF!,#REF!,0,0)</f>
        <v>#REF!</v>
      </c>
      <c r="H31" s="96" t="e">
        <f t="shared" si="0"/>
        <v>#REF!</v>
      </c>
    </row>
    <row r="32" spans="1:8" x14ac:dyDescent="0.25">
      <c r="A32" s="43" t="s">
        <v>180</v>
      </c>
      <c r="B32" s="43" t="str">
        <f>CONCATENATE(A32,"-",VLOOKUP(C32,Tiers_list!A:B,2,FALSE))</f>
        <v>1000-30053-11</v>
      </c>
      <c r="C32" s="43" t="str">
        <f>+'Proposal Form Tier 2-12'!$B$5</f>
        <v>Tier 11 - 2001 - 3000</v>
      </c>
      <c r="D32" s="55" t="s">
        <v>25</v>
      </c>
      <c r="E32" s="43" t="e">
        <f>_xlfn.XLOOKUP($A32,#REF!,#REF!,0,0)</f>
        <v>#REF!</v>
      </c>
      <c r="F32" s="67" t="e">
        <f>_xlfn.XLOOKUP($A32,#REF!,#REF!,0,0)</f>
        <v>#REF!</v>
      </c>
      <c r="G32" s="67" t="e">
        <f>_xlfn.XLOOKUP($A32,#REF!,#REF!,0,0)</f>
        <v>#REF!</v>
      </c>
      <c r="H32" s="96" t="e">
        <f t="shared" si="0"/>
        <v>#REF!</v>
      </c>
    </row>
    <row r="33" spans="1:8" x14ac:dyDescent="0.25">
      <c r="A33" s="43" t="s">
        <v>181</v>
      </c>
      <c r="B33" s="43" t="str">
        <f>CONCATENATE(A33,"-",VLOOKUP(C33,Tiers_list!A:B,2,FALSE))</f>
        <v>1000-30054-11</v>
      </c>
      <c r="C33" s="43" t="str">
        <f>+'Proposal Form Tier 2-12'!$B$5</f>
        <v>Tier 11 - 2001 - 3000</v>
      </c>
      <c r="D33" s="55" t="s">
        <v>83</v>
      </c>
      <c r="E33" s="43" t="e">
        <f>_xlfn.XLOOKUP($A33,#REF!,#REF!,0,0)</f>
        <v>#REF!</v>
      </c>
      <c r="F33" s="67" t="e">
        <f>_xlfn.XLOOKUP($A33,#REF!,#REF!,0,0)</f>
        <v>#REF!</v>
      </c>
      <c r="G33" s="67" t="e">
        <f>_xlfn.XLOOKUP($A33,#REF!,#REF!,0,0)</f>
        <v>#REF!</v>
      </c>
      <c r="H33" s="96" t="e">
        <f t="shared" si="0"/>
        <v>#REF!</v>
      </c>
    </row>
    <row r="34" spans="1:8" x14ac:dyDescent="0.25">
      <c r="A34" s="43" t="s">
        <v>124</v>
      </c>
      <c r="B34" s="43" t="str">
        <f>CONCATENATE(A34,"-",VLOOKUP(C34,Tiers_list!A:B,2,FALSE))</f>
        <v>200-10115-PCBA-11</v>
      </c>
      <c r="C34" s="43" t="str">
        <f>+'Proposal Form Tier 2-12'!$B$5</f>
        <v>Tier 11 - 2001 - 3000</v>
      </c>
      <c r="D34" s="55" t="s">
        <v>122</v>
      </c>
      <c r="E34" s="43" t="e">
        <f>_xlfn.XLOOKUP($A34,#REF!,#REF!,0,0)</f>
        <v>#REF!</v>
      </c>
      <c r="F34" s="67" t="e">
        <f>_xlfn.XLOOKUP($A34,#REF!,#REF!,0,0)</f>
        <v>#REF!</v>
      </c>
      <c r="G34" s="67" t="e">
        <f>_xlfn.XLOOKUP($A34,#REF!,#REF!,0,0)</f>
        <v>#REF!</v>
      </c>
      <c r="H34" s="96" t="e">
        <f t="shared" si="0"/>
        <v>#REF!</v>
      </c>
    </row>
    <row r="35" spans="1:8" x14ac:dyDescent="0.25">
      <c r="A35" s="43" t="s">
        <v>170</v>
      </c>
      <c r="B35" s="43" t="s">
        <v>170</v>
      </c>
      <c r="C35" s="43" t="str">
        <f>+'Proposal Form Tier 2-12'!$B$5</f>
        <v>Tier 11 - 2001 - 3000</v>
      </c>
      <c r="D35" s="55" t="s">
        <v>167</v>
      </c>
      <c r="E35" s="43" t="e">
        <f>_xlfn.XLOOKUP($A35,#REF!,#REF!,0,0)</f>
        <v>#REF!</v>
      </c>
      <c r="F35" s="67" t="e">
        <f>_xlfn.XLOOKUP($A35,#REF!,#REF!,0,0)</f>
        <v>#REF!</v>
      </c>
      <c r="G35" s="67" t="e">
        <f>_xlfn.XLOOKUP($A35,#REF!,#REF!,0,0)</f>
        <v>#REF!</v>
      </c>
      <c r="H35" s="96" t="e">
        <f t="shared" si="0"/>
        <v>#REF!</v>
      </c>
    </row>
    <row r="36" spans="1:8" ht="30" x14ac:dyDescent="0.25">
      <c r="A36" s="43" t="s">
        <v>171</v>
      </c>
      <c r="B36" s="43" t="s">
        <v>171</v>
      </c>
      <c r="C36" s="43" t="str">
        <f>+'Proposal Form Tier 2-12'!$B$5</f>
        <v>Tier 11 - 2001 - 3000</v>
      </c>
      <c r="D36" s="55" t="s">
        <v>168</v>
      </c>
      <c r="E36" s="43" t="e">
        <f>_xlfn.XLOOKUP($A36,#REF!,#REF!,0,0)</f>
        <v>#REF!</v>
      </c>
      <c r="F36" s="67" t="e">
        <f>_xlfn.XLOOKUP($A36,#REF!,#REF!,0,0)</f>
        <v>#REF!</v>
      </c>
      <c r="G36" s="67" t="e">
        <f>_xlfn.XLOOKUP($A36,#REF!,#REF!,0,0)</f>
        <v>#REF!</v>
      </c>
      <c r="H36" s="96" t="e">
        <f t="shared" si="0"/>
        <v>#REF!</v>
      </c>
    </row>
    <row r="37" spans="1:8" x14ac:dyDescent="0.25">
      <c r="A37" s="43" t="s">
        <v>172</v>
      </c>
      <c r="B37" s="43" t="s">
        <v>172</v>
      </c>
      <c r="C37" s="43" t="str">
        <f>+'Proposal Form Tier 2-12'!$B$5</f>
        <v>Tier 11 - 2001 - 3000</v>
      </c>
      <c r="D37" s="55" t="s">
        <v>169</v>
      </c>
      <c r="E37" s="43" t="e">
        <f>_xlfn.XLOOKUP($A37,#REF!,#REF!,0,0)</f>
        <v>#REF!</v>
      </c>
      <c r="F37" s="67" t="e">
        <f>_xlfn.XLOOKUP($A37,#REF!,#REF!,0,0)</f>
        <v>#REF!</v>
      </c>
      <c r="G37" s="67" t="e">
        <f>_xlfn.XLOOKUP($A37,#REF!,#REF!,0,0)</f>
        <v>#REF!</v>
      </c>
      <c r="H37" s="96" t="e">
        <f t="shared" si="0"/>
        <v>#REF!</v>
      </c>
    </row>
  </sheetData>
  <sheetProtection algorithmName="SHA-512" hashValue="Kz/pgjbmDk8p8heXJCYfK4IHWYDxb2chEiTcax/yxooMzVUn39NcQhpd/aYay4RuvxlGEon8xYmZt0cwL92SZA==" saltValue="JolLQ/s2dNlwHsypPCAf4g==" spinCount="100000" sheet="1" formatCells="0" formatColumns="0" formatRows="0" sort="0" autoFilter="0" pivotTables="0"/>
  <autoFilter ref="A1:F37" xr:uid="{68EF16D0-CB0F-4D4E-AEA7-41ADCA3D33A2}"/>
  <sortState xmlns:xlrd2="http://schemas.microsoft.com/office/spreadsheetml/2017/richdata2" ref="A2:F48">
    <sortCondition ref="A2:A48"/>
  </sortState>
  <pageMargins left="0.25" right="0.25" top="0.75" bottom="0.75" header="0.3" footer="0.3"/>
  <pageSetup orientation="landscape" r:id="rId1"/>
  <headerFooter>
    <oddHeader>&amp;C&amp;"-,Bold"&amp;14FISHBOWL PART LIST</oddHeader>
    <oddFooter>&amp;RPage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29BC0B25D6DF347A98E037D7CED8806" ma:contentTypeVersion="4" ma:contentTypeDescription="Create a new document." ma:contentTypeScope="" ma:versionID="96302db95581d2b55203af66278db08a">
  <xsd:schema xmlns:xsd="http://www.w3.org/2001/XMLSchema" xmlns:xs="http://www.w3.org/2001/XMLSchema" xmlns:p="http://schemas.microsoft.com/office/2006/metadata/properties" xmlns:ns2="b66f160e-7eb3-429e-bf83-99c73d74cee8" targetNamespace="http://schemas.microsoft.com/office/2006/metadata/properties" ma:root="true" ma:fieldsID="7a1c6a42d9430e555c5d7cb9bddd9879" ns2:_="">
    <xsd:import namespace="b66f160e-7eb3-429e-bf83-99c73d74cee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6f160e-7eb3-429e-bf83-99c73d74ce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BDD42B6-4600-4C3D-85A1-0A8CF2BF87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6f160e-7eb3-429e-bf83-99c73d74cee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5FFFC9F-CE51-43FC-9831-1D7329A8A4A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11</vt:i4>
      </vt:variant>
      <vt:variant>
        <vt:lpstr>Named Ranges</vt:lpstr>
      </vt:variant>
      <vt:variant>
        <vt:i4>9</vt:i4>
      </vt:variant>
    </vt:vector>
  </HeadingPairs>
  <TitlesOfParts>
    <vt:vector size="20" baseType="lpstr">
      <vt:lpstr>Proposal Form Tier 1</vt:lpstr>
      <vt:lpstr>Detail_Proposal_tier 1</vt:lpstr>
      <vt:lpstr>Proposal Summary - Tier 1</vt:lpstr>
      <vt:lpstr>Proposal Form Tier 2-12</vt:lpstr>
      <vt:lpstr>Detail_Proposal_tier 2-12</vt:lpstr>
      <vt:lpstr>Proposal Summary - Tier 2-12</vt:lpstr>
      <vt:lpstr>Tiers_list</vt:lpstr>
      <vt:lpstr>End_user</vt:lpstr>
      <vt:lpstr>Integrator List</vt:lpstr>
      <vt:lpstr>Category_list</vt:lpstr>
      <vt:lpstr>Fishbowl Proposal Part list</vt:lpstr>
      <vt:lpstr>'Detail_Proposal_tier 1'!Print_Area</vt:lpstr>
      <vt:lpstr>'Detail_Proposal_tier 2-12'!Print_Area</vt:lpstr>
      <vt:lpstr>'Fishbowl Proposal Part list'!Print_Area</vt:lpstr>
      <vt:lpstr>'Proposal Summary - Tier 1'!Print_Area</vt:lpstr>
      <vt:lpstr>'Proposal Summary - Tier 2-12'!Print_Area</vt:lpstr>
      <vt:lpstr>'Detail_Proposal_tier 1'!Print_Titles</vt:lpstr>
      <vt:lpstr>'Detail_Proposal_tier 2-12'!Print_Titles</vt:lpstr>
      <vt:lpstr>'Fishbowl Proposal Part list'!Print_Titles</vt:lpstr>
      <vt:lpstr>'Proposal Summary - Tier 2-12'!Print_Titles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 Leiponis</dc:creator>
  <cp:keywords/>
  <dc:description/>
  <cp:lastModifiedBy>Luckner Badio</cp:lastModifiedBy>
  <cp:revision/>
  <cp:lastPrinted>2026-01-23T21:47:27Z</cp:lastPrinted>
  <dcterms:created xsi:type="dcterms:W3CDTF">2015-06-05T18:17:20Z</dcterms:created>
  <dcterms:modified xsi:type="dcterms:W3CDTF">2026-06-22T18:05:00Z</dcterms:modified>
  <cp:category/>
  <cp:contentStatus/>
</cp:coreProperties>
</file>